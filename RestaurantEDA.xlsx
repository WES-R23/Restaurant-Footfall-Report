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/Documents/Ambiente Sales/Test/"/>
    </mc:Choice>
  </mc:AlternateContent>
  <xr:revisionPtr revIDLastSave="0" documentId="13_ncr:1_{964E8A88-173C-5041-81AC-B90A68A2075C}" xr6:coauthVersionLast="47" xr6:coauthVersionMax="47" xr10:uidLastSave="{00000000-0000-0000-0000-000000000000}"/>
  <bookViews>
    <workbookView xWindow="1560" yWindow="500" windowWidth="27240" windowHeight="15060" activeTab="3" xr2:uid="{2F6B49B2-969C-9244-91E2-614B98CFB003}"/>
  </bookViews>
  <sheets>
    <sheet name="dim_weather" sheetId="1" r:id="rId1"/>
    <sheet name="fact_bookings" sheetId="2" r:id="rId2"/>
    <sheet name="fact_sales" sheetId="4" r:id="rId3"/>
    <sheet name="Stats" sheetId="5" r:id="rId4"/>
  </sheets>
  <definedNames>
    <definedName name="_xlnm._FilterDatabase" localSheetId="3" hidden="1">Stats!$G$4:$G$8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E19" i="5"/>
  <c r="E20" i="5"/>
  <c r="E21" i="5"/>
  <c r="E22" i="5"/>
  <c r="E23" i="5"/>
  <c r="E24" i="5"/>
  <c r="E25" i="5"/>
  <c r="E26" i="5"/>
  <c r="E27" i="5"/>
  <c r="E28" i="5"/>
  <c r="E17" i="5"/>
  <c r="D18" i="5"/>
  <c r="D19" i="5"/>
  <c r="D20" i="5"/>
  <c r="D21" i="5"/>
  <c r="D22" i="5"/>
  <c r="D23" i="5"/>
  <c r="D24" i="5"/>
  <c r="D25" i="5"/>
  <c r="D26" i="5"/>
  <c r="D27" i="5"/>
  <c r="D28" i="5"/>
  <c r="D17" i="5"/>
  <c r="H31" i="5"/>
  <c r="C31" i="5"/>
  <c r="C30" i="5"/>
  <c r="H30" i="5"/>
  <c r="P4" i="5"/>
  <c r="I4" i="5"/>
  <c r="T4" i="5"/>
  <c r="K369" i="1"/>
  <c r="K472" i="1"/>
  <c r="K553" i="1"/>
  <c r="K592" i="1"/>
  <c r="K515" i="1"/>
  <c r="K421" i="1"/>
  <c r="K504" i="1"/>
  <c r="K469" i="1"/>
  <c r="K408" i="1"/>
  <c r="K545" i="1"/>
  <c r="K593" i="1"/>
  <c r="K459" i="1"/>
  <c r="K521" i="1"/>
  <c r="K587" i="1"/>
  <c r="K519" i="1"/>
  <c r="K470" i="1"/>
  <c r="K381" i="1"/>
  <c r="K554" i="1"/>
  <c r="K511" i="1"/>
  <c r="K318" i="1"/>
  <c r="K324" i="1"/>
  <c r="K448" i="1"/>
  <c r="K556" i="1"/>
  <c r="K529" i="1"/>
  <c r="K284" i="1"/>
  <c r="K131" i="1"/>
  <c r="K67" i="1"/>
  <c r="K436" i="1"/>
  <c r="K346" i="1"/>
  <c r="K292" i="1"/>
  <c r="K551" i="1"/>
  <c r="K546" i="1"/>
  <c r="K185" i="1"/>
  <c r="K44" i="1"/>
  <c r="K143" i="1"/>
  <c r="K246" i="1"/>
  <c r="K82" i="1"/>
  <c r="K320" i="1"/>
  <c r="K12" i="1"/>
  <c r="K87" i="1"/>
  <c r="K8" i="1"/>
  <c r="K180" i="1"/>
  <c r="K289" i="1"/>
  <c r="K234" i="1"/>
  <c r="K151" i="1"/>
  <c r="K364" i="1"/>
  <c r="K602" i="1"/>
  <c r="K598" i="1"/>
  <c r="K117" i="1"/>
  <c r="K149" i="1"/>
  <c r="K269" i="1"/>
  <c r="K232" i="1"/>
  <c r="K71" i="1"/>
  <c r="K325" i="1"/>
  <c r="K298" i="1"/>
  <c r="K588" i="1"/>
  <c r="K595" i="1"/>
  <c r="K617" i="1"/>
  <c r="K631" i="1"/>
  <c r="K255" i="1"/>
  <c r="K348" i="1"/>
  <c r="K557" i="1"/>
  <c r="K490" i="1"/>
  <c r="K621" i="1"/>
  <c r="K110" i="1"/>
  <c r="K104" i="1"/>
  <c r="K491" i="1"/>
  <c r="K532" i="1"/>
  <c r="K527" i="1"/>
  <c r="K509" i="1"/>
  <c r="K646" i="1"/>
  <c r="K538" i="1"/>
  <c r="K667" i="1"/>
  <c r="K669" i="1"/>
  <c r="K651" i="1"/>
  <c r="K640" i="1"/>
  <c r="K209" i="1"/>
  <c r="K273" i="1"/>
  <c r="K161" i="1"/>
  <c r="K197" i="1"/>
  <c r="K148" i="1"/>
  <c r="K389" i="1"/>
  <c r="K604" i="1"/>
  <c r="K160" i="1"/>
  <c r="K386" i="1"/>
  <c r="K262" i="1"/>
  <c r="K49" i="1"/>
  <c r="K505" i="1"/>
  <c r="K524" i="1"/>
  <c r="K608" i="1"/>
  <c r="K356" i="1"/>
  <c r="K114" i="1"/>
  <c r="K396" i="1"/>
  <c r="K655" i="1"/>
  <c r="K666" i="1"/>
  <c r="K673" i="1"/>
  <c r="K663" i="1"/>
  <c r="K357" i="1"/>
  <c r="K438" i="1"/>
  <c r="K635" i="1"/>
  <c r="K636" i="1"/>
  <c r="K643" i="1"/>
  <c r="K625" i="1"/>
  <c r="K618" i="1"/>
  <c r="K612" i="1"/>
  <c r="K530" i="1"/>
  <c r="K599" i="1"/>
  <c r="K596" i="1"/>
  <c r="K623" i="1"/>
  <c r="K410" i="1"/>
  <c r="K296" i="1"/>
  <c r="K422" i="1"/>
  <c r="K372" i="1"/>
  <c r="K101" i="1"/>
  <c r="K361" i="1"/>
  <c r="K264" i="1"/>
  <c r="K360" i="1"/>
  <c r="K565" i="1"/>
  <c r="K670" i="1"/>
  <c r="K478" i="1"/>
  <c r="K371" i="1"/>
  <c r="K535" i="1"/>
  <c r="K416" i="1"/>
  <c r="K690" i="1"/>
  <c r="K451" i="1"/>
  <c r="K46" i="1"/>
  <c r="K205" i="1"/>
  <c r="K251" i="1"/>
  <c r="K240" i="1"/>
  <c r="K168" i="1"/>
  <c r="K351" i="1"/>
  <c r="K479" i="1"/>
  <c r="K387" i="1"/>
  <c r="K210" i="1"/>
  <c r="K403" i="1"/>
  <c r="K312" i="1"/>
  <c r="K647" i="1"/>
  <c r="K632" i="1"/>
  <c r="K382" i="1"/>
  <c r="K300" i="1"/>
  <c r="K89" i="1"/>
  <c r="K342" i="1"/>
  <c r="K571" i="1"/>
  <c r="K199" i="1"/>
  <c r="K630" i="1"/>
  <c r="K194" i="1"/>
  <c r="K59" i="1"/>
  <c r="K657" i="1"/>
  <c r="K63" i="1"/>
  <c r="K678" i="1"/>
  <c r="K687" i="1"/>
  <c r="K411" i="1"/>
  <c r="K650" i="1"/>
  <c r="K652" i="1"/>
  <c r="K674" i="1"/>
  <c r="K695" i="1"/>
  <c r="K705" i="1"/>
  <c r="K716" i="1"/>
  <c r="K450" i="1"/>
  <c r="K658" i="1"/>
  <c r="K685" i="1"/>
  <c r="K698" i="1"/>
  <c r="K709" i="1"/>
  <c r="K419" i="1"/>
  <c r="K307" i="1"/>
  <c r="K390" i="1"/>
  <c r="K466" i="1"/>
  <c r="K287" i="1"/>
  <c r="K482" i="1"/>
  <c r="K129" i="1"/>
  <c r="K116" i="1"/>
  <c r="K135" i="1"/>
  <c r="K317" i="1"/>
  <c r="K399" i="1"/>
  <c r="K568" i="1"/>
  <c r="K675" i="1"/>
  <c r="K365" i="1"/>
  <c r="K702" i="1"/>
  <c r="K706" i="1"/>
  <c r="K699" i="1"/>
  <c r="K721" i="1"/>
  <c r="K726" i="1"/>
  <c r="K391" i="1"/>
  <c r="K693" i="1"/>
  <c r="K405" i="1"/>
  <c r="K368" i="1"/>
  <c r="K710" i="1"/>
  <c r="K443" i="1"/>
  <c r="K731" i="1"/>
  <c r="K732" i="1"/>
  <c r="K708" i="1"/>
  <c r="K344" i="1"/>
  <c r="K236" i="1"/>
  <c r="K338" i="1"/>
  <c r="K123" i="1"/>
  <c r="K155" i="1"/>
  <c r="K254" i="1"/>
  <c r="K688" i="1"/>
  <c r="K260" i="1"/>
  <c r="K252" i="1"/>
  <c r="K176" i="1"/>
  <c r="K51" i="1"/>
  <c r="K467" i="1"/>
  <c r="K282" i="1"/>
  <c r="K308" i="1"/>
  <c r="K681" i="1"/>
  <c r="K373" i="1"/>
  <c r="K682" i="1"/>
  <c r="K694" i="1"/>
  <c r="K703" i="1"/>
  <c r="K713" i="1"/>
  <c r="K729" i="1"/>
  <c r="K730" i="1"/>
  <c r="K727" i="1"/>
  <c r="K725" i="1"/>
  <c r="K728" i="1"/>
  <c r="K374" i="1"/>
  <c r="K280" i="1"/>
  <c r="K218" i="1"/>
  <c r="K432" i="1"/>
  <c r="K412" i="1"/>
  <c r="K541" i="1"/>
  <c r="K162" i="1"/>
  <c r="K213" i="1"/>
  <c r="K392" i="1"/>
  <c r="K276" i="1"/>
  <c r="K201" i="1"/>
  <c r="K575" i="1"/>
  <c r="K577" i="1"/>
  <c r="K697" i="1"/>
  <c r="K404" i="1"/>
  <c r="K464" i="1"/>
  <c r="K306" i="1"/>
  <c r="K499" i="1"/>
  <c r="K576" i="1"/>
  <c r="K98" i="1"/>
  <c r="K418" i="1"/>
  <c r="K76" i="1"/>
  <c r="K29" i="1"/>
  <c r="K94" i="1"/>
  <c r="K52" i="1"/>
  <c r="K127" i="1"/>
  <c r="K217" i="1"/>
  <c r="K275" i="1"/>
  <c r="K77" i="1"/>
  <c r="K672" i="1"/>
  <c r="K656" i="1"/>
  <c r="K644" i="1"/>
  <c r="K474" i="1"/>
  <c r="K495" i="1"/>
  <c r="K536" i="1"/>
  <c r="K475" i="1"/>
  <c r="K661" i="1"/>
  <c r="K665" i="1"/>
  <c r="K177" i="1"/>
  <c r="K424" i="1"/>
  <c r="K337" i="1"/>
  <c r="K329" i="1"/>
  <c r="K173" i="1"/>
  <c r="K310" i="1"/>
  <c r="K113" i="1"/>
  <c r="K241" i="1"/>
  <c r="K21" i="1"/>
  <c r="K227" i="1"/>
  <c r="K463" i="1"/>
  <c r="K639" i="1"/>
  <c r="K315" i="1"/>
  <c r="K55" i="1"/>
  <c r="K537" i="1"/>
  <c r="K133" i="1"/>
  <c r="K564" i="1"/>
  <c r="K350" i="1"/>
  <c r="K146" i="1"/>
  <c r="K622" i="1"/>
  <c r="K285" i="1"/>
  <c r="K513" i="1"/>
  <c r="K430" i="1"/>
  <c r="K92" i="1"/>
  <c r="K304" i="1"/>
  <c r="K204" i="1"/>
  <c r="K561" i="1"/>
  <c r="K559" i="1"/>
  <c r="K9" i="1"/>
  <c r="K186" i="1"/>
  <c r="K388" i="1"/>
  <c r="K45" i="1"/>
  <c r="K221" i="1"/>
  <c r="K439" i="1"/>
  <c r="K228" i="1"/>
  <c r="K170" i="1"/>
  <c r="K266" i="1"/>
  <c r="K165" i="1"/>
  <c r="K286" i="1"/>
  <c r="K39" i="1"/>
  <c r="K32" i="1"/>
  <c r="K125" i="1"/>
  <c r="K531" i="1"/>
  <c r="K507" i="1"/>
  <c r="K216" i="1"/>
  <c r="K265" i="1"/>
  <c r="K492" i="1"/>
  <c r="K74" i="1"/>
  <c r="K238" i="1"/>
  <c r="K423" i="1"/>
  <c r="K648" i="1"/>
  <c r="K624" i="1"/>
  <c r="K473" i="1"/>
  <c r="K429" i="1"/>
  <c r="K14" i="1"/>
  <c r="K277" i="1"/>
  <c r="K4" i="1"/>
  <c r="K156" i="1"/>
  <c r="K153" i="1"/>
  <c r="K79" i="1"/>
  <c r="K72" i="1"/>
  <c r="K229" i="1"/>
  <c r="K41" i="1"/>
  <c r="K97" i="1"/>
  <c r="K327" i="1"/>
  <c r="K328" i="1"/>
  <c r="K126" i="1"/>
  <c r="K487" i="1"/>
  <c r="K413" i="1"/>
  <c r="K420" i="1"/>
  <c r="K503" i="1"/>
  <c r="K486" i="1"/>
  <c r="K313" i="1"/>
  <c r="K122" i="1"/>
  <c r="K261" i="1"/>
  <c r="K172" i="1"/>
  <c r="K323" i="1"/>
  <c r="K335" i="1"/>
  <c r="K455" i="1"/>
  <c r="K444" i="1"/>
  <c r="K544" i="1"/>
  <c r="K580" i="1"/>
  <c r="K581" i="1"/>
  <c r="K583" i="1"/>
  <c r="K585" i="1"/>
  <c r="K502" i="1"/>
  <c r="K454" i="1"/>
  <c r="K219" i="1"/>
  <c r="K102" i="1"/>
  <c r="K248" i="1"/>
  <c r="K188" i="1"/>
  <c r="K272" i="1"/>
  <c r="K47" i="1"/>
  <c r="K303" i="1"/>
  <c r="K299" i="1"/>
  <c r="K124" i="1"/>
  <c r="K103" i="1"/>
  <c r="K91" i="1"/>
  <c r="K150" i="1"/>
  <c r="K326" i="1"/>
  <c r="K11" i="1"/>
  <c r="K15" i="1"/>
  <c r="K433" i="1"/>
  <c r="K105" i="1"/>
  <c r="K191" i="1"/>
  <c r="K263" i="1"/>
  <c r="K288" i="1"/>
  <c r="K31" i="1"/>
  <c r="K242" i="1"/>
  <c r="K339" i="1"/>
  <c r="K35" i="1"/>
  <c r="K247" i="1"/>
  <c r="K115" i="1"/>
  <c r="K230" i="1"/>
  <c r="K84" i="1"/>
  <c r="K428" i="1"/>
  <c r="K516" i="1"/>
  <c r="K584" i="1"/>
  <c r="K406" i="1"/>
  <c r="K456" i="1"/>
  <c r="K415" i="1"/>
  <c r="K517" i="1"/>
  <c r="K453" i="1"/>
  <c r="K520" i="1"/>
  <c r="K488" i="1"/>
  <c r="K363" i="1"/>
  <c r="K319" i="1"/>
  <c r="K302" i="1"/>
  <c r="K549" i="1"/>
  <c r="K528" i="1"/>
  <c r="K600" i="1"/>
  <c r="K460" i="1"/>
  <c r="K270" i="1"/>
  <c r="K409" i="1"/>
  <c r="K437" i="1"/>
  <c r="K601" i="1"/>
  <c r="K590" i="1"/>
  <c r="K591" i="1"/>
  <c r="K526" i="1"/>
  <c r="K594" i="1"/>
  <c r="K552" i="1"/>
  <c r="K603" i="1"/>
  <c r="K610" i="1"/>
  <c r="K597" i="1"/>
  <c r="K589" i="1"/>
  <c r="K445" i="1"/>
  <c r="K461" i="1"/>
  <c r="K222" i="1"/>
  <c r="K349" i="1"/>
  <c r="K190" i="1"/>
  <c r="K385" i="1"/>
  <c r="K533" i="1"/>
  <c r="K611" i="1"/>
  <c r="K340" i="1"/>
  <c r="K295" i="1"/>
  <c r="K316" i="1"/>
  <c r="K359" i="1"/>
  <c r="K366" i="1"/>
  <c r="K200" i="1"/>
  <c r="K179" i="1"/>
  <c r="K132" i="1"/>
  <c r="K457" i="1"/>
  <c r="K550" i="1"/>
  <c r="K522" i="1"/>
  <c r="K548" i="1"/>
  <c r="K321" i="1"/>
  <c r="K414" i="1"/>
  <c r="K518" i="1"/>
  <c r="K108" i="1"/>
  <c r="K119" i="1"/>
  <c r="K336" i="1"/>
  <c r="K175" i="1"/>
  <c r="K28" i="1"/>
  <c r="K182" i="1"/>
  <c r="K164" i="1"/>
  <c r="K223" i="1"/>
  <c r="K174" i="1"/>
  <c r="K145" i="1"/>
  <c r="K332" i="1"/>
  <c r="K235" i="1"/>
  <c r="K137" i="1"/>
  <c r="K198" i="1"/>
  <c r="K140" i="1"/>
  <c r="K341" i="1"/>
  <c r="K36" i="1"/>
  <c r="K427" i="1"/>
  <c r="K525" i="1"/>
  <c r="K178" i="1"/>
  <c r="K395" i="1"/>
  <c r="K54" i="1"/>
  <c r="K134" i="1"/>
  <c r="K291" i="1"/>
  <c r="K376" i="1"/>
  <c r="K606" i="1"/>
  <c r="K619" i="1"/>
  <c r="K90" i="1"/>
  <c r="K66" i="1"/>
  <c r="K614" i="1"/>
  <c r="K562" i="1"/>
  <c r="K616" i="1"/>
  <c r="K112" i="1"/>
  <c r="K48" i="1"/>
  <c r="K184" i="1"/>
  <c r="K237" i="1"/>
  <c r="K61" i="1"/>
  <c r="K283" i="1"/>
  <c r="K634" i="1"/>
  <c r="K626" i="1"/>
  <c r="K628" i="1"/>
  <c r="K627" i="1"/>
  <c r="K620" i="1"/>
  <c r="K144" i="1"/>
  <c r="K68" i="1"/>
  <c r="K220" i="1"/>
  <c r="K375" i="1"/>
  <c r="K434" i="1"/>
  <c r="K609" i="1"/>
  <c r="K447" i="1"/>
  <c r="K141" i="1"/>
  <c r="K510" i="1"/>
  <c r="K231" i="1"/>
  <c r="K476" i="1"/>
  <c r="K558" i="1"/>
  <c r="K629" i="1"/>
  <c r="K355" i="1"/>
  <c r="K73" i="1"/>
  <c r="K258" i="1"/>
  <c r="K167" i="1"/>
  <c r="K78" i="1"/>
  <c r="K187" i="1"/>
  <c r="K290" i="1"/>
  <c r="K157" i="1"/>
  <c r="K506" i="1"/>
  <c r="K633" i="1"/>
  <c r="K331" i="1"/>
  <c r="K494" i="1"/>
  <c r="K398" i="1"/>
  <c r="K496" i="1"/>
  <c r="K662" i="1"/>
  <c r="K462" i="1"/>
  <c r="K569" i="1"/>
  <c r="K676" i="1"/>
  <c r="K671" i="1"/>
  <c r="K677" i="1"/>
  <c r="K679" i="1"/>
  <c r="K664" i="1"/>
  <c r="K683" i="1"/>
  <c r="K692" i="1"/>
  <c r="K638" i="1"/>
  <c r="K653" i="1"/>
  <c r="K645" i="1"/>
  <c r="K294" i="1"/>
  <c r="K534" i="1"/>
  <c r="K649" i="1"/>
  <c r="K668" i="1"/>
  <c r="K642" i="1"/>
  <c r="K659" i="1"/>
  <c r="K563" i="1"/>
  <c r="K637" i="1"/>
  <c r="K641" i="1"/>
  <c r="K660" i="1"/>
  <c r="K712" i="1"/>
  <c r="K722" i="1"/>
  <c r="K723" i="1"/>
  <c r="K717" i="1"/>
  <c r="K700" i="1"/>
  <c r="K704" i="1"/>
  <c r="K711" i="1"/>
  <c r="K442" i="1"/>
  <c r="K30" i="1"/>
  <c r="K99" i="1"/>
  <c r="K27" i="1"/>
  <c r="K578" i="1"/>
  <c r="K701" i="1"/>
  <c r="K468" i="1"/>
  <c r="K714" i="1"/>
  <c r="K83" i="1"/>
  <c r="K465" i="1"/>
  <c r="K278" i="1"/>
  <c r="K245" i="1"/>
  <c r="K397" i="1"/>
  <c r="K314" i="1"/>
  <c r="K362" i="1"/>
  <c r="K477" i="1"/>
  <c r="K274" i="1"/>
  <c r="K540" i="1"/>
  <c r="K497" i="1"/>
  <c r="K684" i="1"/>
  <c r="K718" i="1"/>
  <c r="K95" i="1"/>
  <c r="K34" i="1"/>
  <c r="K279" i="1"/>
  <c r="K233" i="1"/>
  <c r="K305" i="1"/>
  <c r="K383" i="1"/>
  <c r="K43" i="1"/>
  <c r="K64" i="1"/>
  <c r="K136" i="1"/>
  <c r="K169" i="1"/>
  <c r="K139" i="1"/>
  <c r="K142" i="1"/>
  <c r="K441" i="1"/>
  <c r="K203" i="1"/>
  <c r="K65" i="1"/>
  <c r="K2" i="1"/>
  <c r="K106" i="1"/>
  <c r="K243" i="1"/>
  <c r="K206" i="1"/>
  <c r="K70" i="1"/>
  <c r="K691" i="1"/>
  <c r="K452" i="1"/>
  <c r="K181" i="1"/>
  <c r="K111" i="1"/>
  <c r="K301" i="1"/>
  <c r="K6" i="1"/>
  <c r="K158" i="1"/>
  <c r="K50" i="1"/>
  <c r="K40" i="1"/>
  <c r="K257" i="1"/>
  <c r="K572" i="1"/>
  <c r="K514" i="1"/>
  <c r="K689" i="1"/>
  <c r="K501" i="1"/>
  <c r="K543" i="1"/>
  <c r="K267" i="1"/>
  <c r="K480" i="1"/>
  <c r="K26" i="1"/>
  <c r="K281" i="1"/>
  <c r="K574" i="1"/>
  <c r="K680" i="1"/>
  <c r="K330" i="1"/>
  <c r="K75" i="1"/>
  <c r="K696" i="1"/>
  <c r="K542" i="1"/>
  <c r="K686" i="1"/>
  <c r="K297" i="1"/>
  <c r="K334" i="1"/>
  <c r="K225" i="1"/>
  <c r="K163" i="1"/>
  <c r="K25" i="1"/>
  <c r="K567" i="1"/>
  <c r="K400" i="1"/>
  <c r="K654" i="1"/>
  <c r="K539" i="1"/>
  <c r="K239" i="1"/>
  <c r="K500" i="1"/>
  <c r="K707" i="1"/>
  <c r="K724" i="1"/>
  <c r="K715" i="1"/>
  <c r="K719" i="1"/>
  <c r="K720" i="1"/>
  <c r="K579" i="1"/>
  <c r="K100" i="1"/>
  <c r="K128" i="1"/>
  <c r="K253" i="1"/>
  <c r="K16" i="1"/>
  <c r="K566" i="1"/>
  <c r="K481" i="1"/>
  <c r="K147" i="1"/>
  <c r="K367" i="1"/>
  <c r="K211" i="1"/>
  <c r="K10" i="1"/>
  <c r="K69" i="1"/>
  <c r="K60" i="1"/>
  <c r="K570" i="1"/>
  <c r="K271" i="1"/>
  <c r="K311" i="1"/>
  <c r="K379" i="1"/>
  <c r="K345" i="1"/>
  <c r="K196" i="1"/>
  <c r="K259" i="1"/>
  <c r="K343" i="1"/>
  <c r="K431" i="1"/>
  <c r="K96" i="1"/>
  <c r="K154" i="1"/>
  <c r="K81" i="1"/>
  <c r="K192" i="1"/>
  <c r="K417" i="1"/>
  <c r="K224" i="1"/>
  <c r="K171" i="1"/>
  <c r="K573" i="1"/>
  <c r="K440" i="1"/>
  <c r="K498" i="1"/>
  <c r="K483" i="1"/>
  <c r="K195" i="1"/>
  <c r="K560" i="1"/>
  <c r="K38" i="1"/>
  <c r="K446" i="1"/>
  <c r="K615" i="1"/>
  <c r="K607" i="1"/>
  <c r="K512" i="1"/>
  <c r="K333" i="1"/>
  <c r="K13" i="1"/>
  <c r="K3" i="1"/>
  <c r="K130" i="1"/>
  <c r="K449" i="1"/>
  <c r="K508" i="1"/>
  <c r="K85" i="1"/>
  <c r="K378" i="1"/>
  <c r="K62" i="1"/>
  <c r="K121" i="1"/>
  <c r="K193" i="1"/>
  <c r="K33" i="1"/>
  <c r="K118" i="1"/>
  <c r="K53" i="1"/>
  <c r="K56" i="1"/>
  <c r="K17" i="1"/>
  <c r="K401" i="1"/>
  <c r="K107" i="1"/>
  <c r="K208" i="1"/>
  <c r="K214" i="1"/>
  <c r="K352" i="1"/>
  <c r="K189" i="1"/>
  <c r="K380" i="1"/>
  <c r="K471" i="1"/>
  <c r="K489" i="1"/>
  <c r="K152" i="1"/>
  <c r="K19" i="1"/>
  <c r="K24" i="1"/>
  <c r="K93" i="1"/>
  <c r="K458" i="1"/>
  <c r="K435" i="1"/>
  <c r="K37" i="1"/>
  <c r="K166" i="1"/>
  <c r="K256" i="1"/>
  <c r="K226" i="1"/>
  <c r="K322" i="1"/>
  <c r="K402" i="1"/>
  <c r="K384" i="1"/>
  <c r="K547" i="1"/>
  <c r="K586" i="1"/>
  <c r="K20" i="1"/>
  <c r="K358" i="1"/>
  <c r="K393" i="1"/>
  <c r="K353" i="1"/>
  <c r="K425" i="1"/>
  <c r="K582" i="1"/>
  <c r="K268" i="1"/>
  <c r="K22" i="1"/>
  <c r="K86" i="1"/>
  <c r="K484" i="1"/>
  <c r="K7" i="1"/>
  <c r="K354" i="1"/>
  <c r="K18" i="1"/>
  <c r="K88" i="1"/>
  <c r="K138" i="1"/>
  <c r="K80" i="1"/>
  <c r="K202" i="1"/>
  <c r="K347" i="1"/>
  <c r="K605" i="1"/>
  <c r="K613" i="1"/>
  <c r="K555" i="1"/>
  <c r="K293" i="1"/>
  <c r="K394" i="1"/>
  <c r="K377" i="1"/>
  <c r="K309" i="1"/>
  <c r="K215" i="1"/>
  <c r="K244" i="1"/>
  <c r="K250" i="1"/>
  <c r="K212" i="1"/>
  <c r="K407" i="1"/>
  <c r="K5" i="1"/>
  <c r="K42" i="1"/>
  <c r="K159" i="1"/>
  <c r="K57" i="1"/>
  <c r="K58" i="1"/>
  <c r="K23" i="1"/>
  <c r="K207" i="1"/>
  <c r="K370" i="1"/>
  <c r="K109" i="1"/>
  <c r="K485" i="1"/>
  <c r="K249" i="1"/>
  <c r="K120" i="1"/>
  <c r="K183" i="1"/>
  <c r="K426" i="1"/>
  <c r="K523" i="1"/>
  <c r="K493" i="1"/>
  <c r="I18" i="5" l="1"/>
  <c r="J18" i="5" s="1"/>
  <c r="I21" i="5"/>
  <c r="J21" i="5" s="1"/>
  <c r="I23" i="5"/>
  <c r="J23" i="5" s="1"/>
  <c r="I24" i="5"/>
  <c r="J24" i="5" s="1"/>
  <c r="I25" i="5"/>
  <c r="J25" i="5" s="1"/>
  <c r="I26" i="5"/>
  <c r="J26" i="5" s="1"/>
  <c r="I27" i="5"/>
  <c r="J27" i="5" s="1"/>
  <c r="I19" i="5"/>
  <c r="J19" i="5" s="1"/>
  <c r="I20" i="5"/>
  <c r="J20" i="5" s="1"/>
  <c r="I22" i="5"/>
  <c r="J22" i="5" s="1"/>
  <c r="I28" i="5"/>
  <c r="J28" i="5" s="1"/>
  <c r="I17" i="5"/>
  <c r="J17" i="5" s="1"/>
</calcChain>
</file>

<file path=xl/sharedStrings.xml><?xml version="1.0" encoding="utf-8"?>
<sst xmlns="http://schemas.openxmlformats.org/spreadsheetml/2006/main" count="1590" uniqueCount="75">
  <si>
    <t>date_key</t>
  </si>
  <si>
    <t>location</t>
  </si>
  <si>
    <t>max_temp_c</t>
  </si>
  <si>
    <t>min_temp_c</t>
  </si>
  <si>
    <t>avg_temp_c</t>
  </si>
  <si>
    <t>feels_like_c</t>
  </si>
  <si>
    <t>rain_in</t>
  </si>
  <si>
    <t>rain_type</t>
  </si>
  <si>
    <t>wind_speed_mph</t>
  </si>
  <si>
    <t>uv_index</t>
  </si>
  <si>
    <t>york, uk</t>
  </si>
  <si>
    <t>rain</t>
  </si>
  <si>
    <t>rain,snow</t>
  </si>
  <si>
    <t>-</t>
  </si>
  <si>
    <t>total_spend</t>
  </si>
  <si>
    <t>avg_spend</t>
  </si>
  <si>
    <t>avg_duration</t>
  </si>
  <si>
    <t>total_covers</t>
  </si>
  <si>
    <t>walk_ins</t>
  </si>
  <si>
    <t>sameday_bookings</t>
  </si>
  <si>
    <t>advance_bookings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</si>
  <si>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</si>
  <si>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</si>
  <si>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</si>
  <si>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</si>
  <si>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</si>
  <si>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</si>
  <si>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</si>
  <si>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</si>
  <si>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</si>
  <si>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</si>
  <si>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</si>
  <si>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</si>
  <si>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STD DEV</t>
  </si>
  <si>
    <t>Tuesday</t>
  </si>
  <si>
    <t>Monday</t>
  </si>
  <si>
    <t>Sunday</t>
  </si>
  <si>
    <t>Saturday</t>
  </si>
  <si>
    <t>Friday</t>
  </si>
  <si>
    <t>Thursday</t>
  </si>
  <si>
    <t>Moderate Rain</t>
  </si>
  <si>
    <t>Warm 18 - 25</t>
  </si>
  <si>
    <t>Wednesday</t>
  </si>
  <si>
    <t>Dry</t>
  </si>
  <si>
    <t>Hot &gt;25</t>
  </si>
  <si>
    <t>Heavy Rain</t>
  </si>
  <si>
    <t>Cold &lt;10</t>
  </si>
  <si>
    <t>Light Rain</t>
  </si>
  <si>
    <t>Mild 11 - 18</t>
  </si>
  <si>
    <t>net_sales</t>
  </si>
  <si>
    <t>gross_sales</t>
  </si>
  <si>
    <t>rain_mm</t>
  </si>
  <si>
    <t>full_date</t>
  </si>
  <si>
    <t>Worst Weather Days</t>
  </si>
  <si>
    <t>Best Weather Days</t>
  </si>
  <si>
    <t>avg_walkins</t>
  </si>
  <si>
    <t>Weekday Avgs</t>
  </si>
  <si>
    <t>Month</t>
  </si>
  <si>
    <t>Walkins</t>
  </si>
  <si>
    <t>Avg Friday</t>
  </si>
  <si>
    <t>Avg Payday Friday</t>
  </si>
  <si>
    <t xml:space="preserve">Increase </t>
  </si>
  <si>
    <t>Payday Bonus Walkins</t>
  </si>
  <si>
    <t>Avg Walkin by Day</t>
  </si>
  <si>
    <t>Day of Week</t>
  </si>
  <si>
    <t>Var from Avg</t>
  </si>
  <si>
    <t>Monthly Avgs</t>
  </si>
  <si>
    <t>day_name</t>
  </si>
  <si>
    <t>Std_dev</t>
  </si>
  <si>
    <t>Overall Avg</t>
  </si>
  <si>
    <t>Temperature Buckets</t>
  </si>
  <si>
    <t>Avg Walk-ins</t>
  </si>
  <si>
    <t>Buckets</t>
  </si>
  <si>
    <t xml:space="preserve">Rain Buckets </t>
  </si>
  <si>
    <t>Day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</si>
</sst>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283C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/>
    <xf numFmtId="0" fontId="19" fillId="0" borderId="10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34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10" xfId="0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164" fontId="18" fillId="34" borderId="10" xfId="0" applyNumberFormat="1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164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164" fontId="21" fillId="0" borderId="0" xfId="0" applyNumberFormat="1" applyFont="1"/>
    <xf numFmtId="164" fontId="18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vertical="center"/>
    </xf>
    <xf numFmtId="164" fontId="18" fillId="0" borderId="1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164" fontId="20" fillId="0" borderId="15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9" formatCode="dd/mm/yyyy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028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76AFC-A731-3D4A-8606-DB58B75B333A}" name="Table1" displayName="Table1" ref="A1:K732" totalsRowShown="0" dataDxfId="12">
  <autoFilter ref="A1:K732" xr:uid="{94D76AFC-A731-3D4A-8606-DB58B75B333A}"/>
  <sortState xmlns:xlrd2="http://schemas.microsoft.com/office/spreadsheetml/2017/richdata2" ref="A2:K732">
    <sortCondition descending="1" ref="G1:G732"/>
  </sortState>
  <tableColumns count="11">
    <tableColumn id="1" xr3:uid="{55142939-1F2A-0D40-95C4-6EFE9886264E}" name="date_key" dataDxfId="11"/>
    <tableColumn id="2" xr3:uid="{732CEE10-C92F-354D-883A-8118E8355BED}" name="location" dataDxfId="10"/>
    <tableColumn id="3" xr3:uid="{AF6ED71F-DE5C-BD49-976A-8465511FD553}" name="max_temp_c" dataDxfId="9"/>
    <tableColumn id="4" xr3:uid="{B1BEBD46-821B-1740-8581-3E4A86934D23}" name="min_temp_c" dataDxfId="8"/>
    <tableColumn id="5" xr3:uid="{75103D7C-221C-2A43-A54F-806AFD9868C2}" name="avg_temp_c" dataDxfId="7"/>
    <tableColumn id="6" xr3:uid="{F2CC8553-6DDD-6D4C-AA30-A4E5ECC0E5FF}" name="feels_like_c" dataDxfId="6"/>
    <tableColumn id="7" xr3:uid="{6CD7B553-31F8-E449-A5F4-A1684A3CF4BD}" name="rain_in" dataDxfId="5"/>
    <tableColumn id="8" xr3:uid="{BE9B7A66-36B8-1144-8DAB-E20CA0BCEC57}" name="rain_type" dataDxfId="4"/>
    <tableColumn id="9" xr3:uid="{F1EF224A-C66C-4948-8C00-18E985826996}" name="wind_speed_mph" dataDxfId="3"/>
    <tableColumn id="10" xr3:uid="{D21FA35F-8D8C-3C40-847E-A244B5D9CCC8}" name="uv_index" dataDxfId="2"/>
    <tableColumn id="11" xr3:uid="{A57FBC89-849D-EB44-AF22-3FC2727C8E29}" name="rain_mm" dataDxfId="1">
      <calculatedColumnFormula>SUM(G2*25.4)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32F241-7AA5-454C-841B-7C0E8F088701}" name="Table2" displayName="Table2" ref="A1:C821" totalsRowShown="0">
  <autoFilter ref="A1:C821" xr:uid="{8632F241-7AA5-454C-841B-7C0E8F088701}"/>
  <tableColumns count="3">
    <tableColumn id="1" xr3:uid="{2BC94116-C086-9149-9FF2-D22CC4FB34B0}" name="date_key" dataDxfId="0"/>
    <tableColumn id="2" xr3:uid="{181426A1-C648-0C44-B8F8-572517439C1B}" name="gross_sales"/>
    <tableColumn id="3" xr3:uid="{A77A2532-1D52-AE48-9E1B-B0F4BA691D34}" name="net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4442-5507-BC4C-B162-CCE1781AC9C7}">
  <dimension ref="A1:K732"/>
  <sheetViews>
    <sheetView workbookViewId="0">
      <selection activeCell="M9" sqref="M9"/>
    </sheetView>
  </sheetViews>
  <sheetFormatPr baseColWidth="10" defaultRowHeight="16" x14ac:dyDescent="0.2"/>
  <cols>
    <col min="1" max="1" width="10.83203125" customWidth="1"/>
    <col min="3" max="3" width="14" customWidth="1"/>
    <col min="4" max="4" width="13.6640625" customWidth="1"/>
    <col min="5" max="6" width="13.33203125" customWidth="1"/>
    <col min="8" max="8" width="11" customWidth="1"/>
    <col min="9" max="9" width="17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51</v>
      </c>
    </row>
    <row r="2" spans="1:11" x14ac:dyDescent="0.2">
      <c r="A2" s="3">
        <v>45130</v>
      </c>
      <c r="B2" s="4" t="s">
        <v>10</v>
      </c>
      <c r="C2" s="4">
        <v>16.100000000000001</v>
      </c>
      <c r="D2" s="4">
        <v>12.2</v>
      </c>
      <c r="E2" s="4">
        <v>14.7</v>
      </c>
      <c r="F2" s="4">
        <v>14.7</v>
      </c>
      <c r="G2" s="4">
        <v>1.5189999999999999</v>
      </c>
      <c r="H2" s="4" t="s">
        <v>11</v>
      </c>
      <c r="I2" s="4">
        <v>14.2</v>
      </c>
      <c r="J2" s="4">
        <v>3</v>
      </c>
      <c r="K2" s="5">
        <f t="shared" ref="K2:K65" si="0">SUM(G2*25.4)</f>
        <v>38.582599999999992</v>
      </c>
    </row>
    <row r="3" spans="1:11" x14ac:dyDescent="0.2">
      <c r="A3" s="3">
        <v>45219</v>
      </c>
      <c r="B3" s="4" t="s">
        <v>10</v>
      </c>
      <c r="C3" s="4">
        <v>14.2</v>
      </c>
      <c r="D3" s="4">
        <v>8.9</v>
      </c>
      <c r="E3" s="4">
        <v>10.9</v>
      </c>
      <c r="F3" s="4">
        <v>9.4</v>
      </c>
      <c r="G3" s="4">
        <v>1.1639999999999999</v>
      </c>
      <c r="H3" s="4" t="s">
        <v>11</v>
      </c>
      <c r="I3" s="4">
        <v>26.6</v>
      </c>
      <c r="J3" s="4">
        <v>0</v>
      </c>
      <c r="K3" s="5">
        <f t="shared" si="0"/>
        <v>29.565599999999996</v>
      </c>
    </row>
    <row r="4" spans="1:11" x14ac:dyDescent="0.2">
      <c r="A4" s="3">
        <v>44882</v>
      </c>
      <c r="B4" s="4" t="s">
        <v>10</v>
      </c>
      <c r="C4" s="4">
        <v>10.4</v>
      </c>
      <c r="D4" s="4">
        <v>8.6999999999999993</v>
      </c>
      <c r="E4" s="4">
        <v>9.3000000000000007</v>
      </c>
      <c r="F4" s="4">
        <v>6.6</v>
      </c>
      <c r="G4" s="4">
        <v>1.0449999999999999</v>
      </c>
      <c r="H4" s="4" t="s">
        <v>11</v>
      </c>
      <c r="I4" s="4">
        <v>16.3</v>
      </c>
      <c r="J4" s="4">
        <v>0</v>
      </c>
      <c r="K4" s="5">
        <f t="shared" si="0"/>
        <v>26.542999999999996</v>
      </c>
    </row>
    <row r="5" spans="1:11" x14ac:dyDescent="0.2">
      <c r="A5" s="3">
        <v>45287</v>
      </c>
      <c r="B5" s="4" t="s">
        <v>10</v>
      </c>
      <c r="C5" s="4">
        <v>11.6</v>
      </c>
      <c r="D5" s="4">
        <v>1.9</v>
      </c>
      <c r="E5" s="4">
        <v>6.9</v>
      </c>
      <c r="F5" s="4">
        <v>3.3</v>
      </c>
      <c r="G5" s="4">
        <v>1.0209999999999999</v>
      </c>
      <c r="H5" s="4" t="s">
        <v>11</v>
      </c>
      <c r="I5" s="4">
        <v>26.5</v>
      </c>
      <c r="J5" s="4">
        <v>0</v>
      </c>
      <c r="K5" s="5">
        <f t="shared" si="0"/>
        <v>25.933399999999995</v>
      </c>
    </row>
    <row r="6" spans="1:11" x14ac:dyDescent="0.2">
      <c r="A6" s="3">
        <v>45140</v>
      </c>
      <c r="B6" s="4" t="s">
        <v>10</v>
      </c>
      <c r="C6" s="4">
        <v>14.9</v>
      </c>
      <c r="D6" s="4">
        <v>13.1</v>
      </c>
      <c r="E6" s="4">
        <v>14.2</v>
      </c>
      <c r="F6" s="4">
        <v>14.2</v>
      </c>
      <c r="G6" s="4">
        <v>0.82199999999999995</v>
      </c>
      <c r="H6" s="4" t="s">
        <v>11</v>
      </c>
      <c r="I6" s="4">
        <v>15</v>
      </c>
      <c r="J6" s="4">
        <v>2</v>
      </c>
      <c r="K6" s="5">
        <f t="shared" si="0"/>
        <v>20.878799999999998</v>
      </c>
    </row>
    <row r="7" spans="1:11" x14ac:dyDescent="0.2">
      <c r="A7" s="3">
        <v>45267</v>
      </c>
      <c r="B7" s="4" t="s">
        <v>10</v>
      </c>
      <c r="C7" s="4">
        <v>5.0999999999999996</v>
      </c>
      <c r="D7" s="4">
        <v>1.1000000000000001</v>
      </c>
      <c r="E7" s="4">
        <v>4</v>
      </c>
      <c r="F7" s="4">
        <v>-0.7</v>
      </c>
      <c r="G7" s="4">
        <v>0.81799999999999995</v>
      </c>
      <c r="H7" s="4" t="s">
        <v>12</v>
      </c>
      <c r="I7" s="4">
        <v>19.899999999999999</v>
      </c>
      <c r="J7" s="4">
        <v>0</v>
      </c>
      <c r="K7" s="5">
        <f t="shared" si="0"/>
        <v>20.777199999999997</v>
      </c>
    </row>
    <row r="8" spans="1:11" x14ac:dyDescent="0.2">
      <c r="A8" s="3">
        <v>44612</v>
      </c>
      <c r="B8" s="4" t="s">
        <v>10</v>
      </c>
      <c r="C8" s="4">
        <v>11</v>
      </c>
      <c r="D8" s="4">
        <v>2</v>
      </c>
      <c r="E8" s="4">
        <v>7.1</v>
      </c>
      <c r="F8" s="4">
        <v>3.5</v>
      </c>
      <c r="G8" s="4">
        <v>0.80200000000000005</v>
      </c>
      <c r="H8" s="4" t="s">
        <v>12</v>
      </c>
      <c r="I8" s="4">
        <v>28.2</v>
      </c>
      <c r="J8" s="4">
        <v>0</v>
      </c>
      <c r="K8" s="5">
        <f t="shared" si="0"/>
        <v>20.370799999999999</v>
      </c>
    </row>
    <row r="9" spans="1:11" x14ac:dyDescent="0.2">
      <c r="A9" s="3">
        <v>44854</v>
      </c>
      <c r="B9" s="4" t="s">
        <v>10</v>
      </c>
      <c r="C9" s="4">
        <v>12.6</v>
      </c>
      <c r="D9" s="4">
        <v>11.1</v>
      </c>
      <c r="E9" s="4">
        <v>11.9</v>
      </c>
      <c r="F9" s="4">
        <v>11.9</v>
      </c>
      <c r="G9" s="4">
        <v>0.78600000000000003</v>
      </c>
      <c r="H9" s="4" t="s">
        <v>11</v>
      </c>
      <c r="I9" s="4">
        <v>12.5</v>
      </c>
      <c r="J9" s="4">
        <v>0</v>
      </c>
      <c r="K9" s="5">
        <f t="shared" si="0"/>
        <v>19.964400000000001</v>
      </c>
    </row>
    <row r="10" spans="1:11" x14ac:dyDescent="0.2">
      <c r="A10" s="3">
        <v>45187</v>
      </c>
      <c r="B10" s="4" t="s">
        <v>10</v>
      </c>
      <c r="C10" s="4">
        <v>16.899999999999999</v>
      </c>
      <c r="D10" s="4">
        <v>9.6</v>
      </c>
      <c r="E10" s="4">
        <v>14.4</v>
      </c>
      <c r="F10" s="4">
        <v>14.3</v>
      </c>
      <c r="G10" s="4">
        <v>0.70099999999999996</v>
      </c>
      <c r="H10" s="4" t="s">
        <v>11</v>
      </c>
      <c r="I10" s="4">
        <v>17.2</v>
      </c>
      <c r="J10" s="4">
        <v>7</v>
      </c>
      <c r="K10" s="5">
        <f t="shared" si="0"/>
        <v>17.805399999999999</v>
      </c>
    </row>
    <row r="11" spans="1:11" x14ac:dyDescent="0.2">
      <c r="A11" s="3">
        <v>44926</v>
      </c>
      <c r="B11" s="4" t="s">
        <v>10</v>
      </c>
      <c r="C11" s="4">
        <v>8.1</v>
      </c>
      <c r="D11" s="4">
        <v>5.9</v>
      </c>
      <c r="E11" s="4">
        <v>7.1</v>
      </c>
      <c r="F11" s="4">
        <v>5.3</v>
      </c>
      <c r="G11" s="4">
        <v>0.628</v>
      </c>
      <c r="H11" s="4" t="s">
        <v>11</v>
      </c>
      <c r="I11" s="4">
        <v>12.8</v>
      </c>
      <c r="J11" s="4">
        <v>0</v>
      </c>
      <c r="K11" s="5">
        <f t="shared" si="0"/>
        <v>15.9512</v>
      </c>
    </row>
    <row r="12" spans="1:11" x14ac:dyDescent="0.2">
      <c r="A12" s="3">
        <v>44610</v>
      </c>
      <c r="B12" s="4" t="s">
        <v>10</v>
      </c>
      <c r="C12" s="4">
        <v>6.6</v>
      </c>
      <c r="D12" s="4">
        <v>1.9</v>
      </c>
      <c r="E12" s="4">
        <v>4.2</v>
      </c>
      <c r="F12" s="4">
        <v>-0.8</v>
      </c>
      <c r="G12" s="4">
        <v>0.627</v>
      </c>
      <c r="H12" s="4" t="s">
        <v>12</v>
      </c>
      <c r="I12" s="4">
        <v>32.299999999999997</v>
      </c>
      <c r="J12" s="4">
        <v>2</v>
      </c>
      <c r="K12" s="5">
        <f t="shared" si="0"/>
        <v>15.925799999999999</v>
      </c>
    </row>
    <row r="13" spans="1:11" x14ac:dyDescent="0.2">
      <c r="A13" s="3">
        <v>45218</v>
      </c>
      <c r="B13" s="4" t="s">
        <v>10</v>
      </c>
      <c r="C13" s="4">
        <v>16.3</v>
      </c>
      <c r="D13" s="4">
        <v>11.1</v>
      </c>
      <c r="E13" s="4">
        <v>13.6</v>
      </c>
      <c r="F13" s="4">
        <v>13.6</v>
      </c>
      <c r="G13" s="4">
        <v>0.61</v>
      </c>
      <c r="H13" s="4" t="s">
        <v>11</v>
      </c>
      <c r="I13" s="4">
        <v>20.5</v>
      </c>
      <c r="J13" s="4">
        <v>2</v>
      </c>
      <c r="K13" s="5">
        <f t="shared" si="0"/>
        <v>15.493999999999998</v>
      </c>
    </row>
    <row r="14" spans="1:11" x14ac:dyDescent="0.2">
      <c r="A14" s="3">
        <v>44880</v>
      </c>
      <c r="B14" s="4" t="s">
        <v>10</v>
      </c>
      <c r="C14" s="4">
        <v>10.8</v>
      </c>
      <c r="D14" s="4">
        <v>6.2</v>
      </c>
      <c r="E14" s="4">
        <v>8.8000000000000007</v>
      </c>
      <c r="F14" s="4">
        <v>6.9</v>
      </c>
      <c r="G14" s="4">
        <v>0.60399999999999998</v>
      </c>
      <c r="H14" s="4" t="s">
        <v>11</v>
      </c>
      <c r="I14" s="4">
        <v>18.600000000000001</v>
      </c>
      <c r="J14" s="4">
        <v>0</v>
      </c>
      <c r="K14" s="5">
        <f t="shared" si="0"/>
        <v>15.341599999999998</v>
      </c>
    </row>
    <row r="15" spans="1:11" x14ac:dyDescent="0.2">
      <c r="A15" s="3">
        <v>44927</v>
      </c>
      <c r="B15" s="4" t="s">
        <v>10</v>
      </c>
      <c r="C15" s="4">
        <v>8.3000000000000007</v>
      </c>
      <c r="D15" s="4">
        <v>4.8</v>
      </c>
      <c r="E15" s="4">
        <v>7.1</v>
      </c>
      <c r="F15" s="4">
        <v>3.6</v>
      </c>
      <c r="G15" s="4">
        <v>0.60199999999999998</v>
      </c>
      <c r="H15" s="4" t="s">
        <v>11</v>
      </c>
      <c r="I15" s="4">
        <v>18.399999999999999</v>
      </c>
      <c r="J15" s="4">
        <v>1</v>
      </c>
      <c r="K15" s="5">
        <f t="shared" si="0"/>
        <v>15.290799999999999</v>
      </c>
    </row>
    <row r="16" spans="1:11" x14ac:dyDescent="0.2">
      <c r="A16" s="3">
        <v>45181</v>
      </c>
      <c r="B16" s="4" t="s">
        <v>10</v>
      </c>
      <c r="C16" s="4">
        <v>14.8</v>
      </c>
      <c r="D16" s="4">
        <v>10.3</v>
      </c>
      <c r="E16" s="4">
        <v>13.6</v>
      </c>
      <c r="F16" s="4">
        <v>13.6</v>
      </c>
      <c r="G16" s="4">
        <v>0.59899999999999998</v>
      </c>
      <c r="H16" s="4" t="s">
        <v>11</v>
      </c>
      <c r="I16" s="4">
        <v>12.3</v>
      </c>
      <c r="J16" s="4">
        <v>2</v>
      </c>
      <c r="K16" s="5">
        <f t="shared" si="0"/>
        <v>15.214599999999999</v>
      </c>
    </row>
    <row r="17" spans="1:11" x14ac:dyDescent="0.2">
      <c r="A17" s="3">
        <v>45232</v>
      </c>
      <c r="B17" s="4" t="s">
        <v>10</v>
      </c>
      <c r="C17" s="4">
        <v>11</v>
      </c>
      <c r="D17" s="4">
        <v>5.9</v>
      </c>
      <c r="E17" s="4">
        <v>9.1</v>
      </c>
      <c r="F17" s="4">
        <v>6.9</v>
      </c>
      <c r="G17" s="4">
        <v>0.57799999999999996</v>
      </c>
      <c r="H17" s="4" t="s">
        <v>11</v>
      </c>
      <c r="I17" s="4">
        <v>14.9</v>
      </c>
      <c r="J17" s="4">
        <v>1</v>
      </c>
      <c r="K17" s="5">
        <f t="shared" si="0"/>
        <v>14.681199999999999</v>
      </c>
    </row>
    <row r="18" spans="1:11" x14ac:dyDescent="0.2">
      <c r="A18" s="3">
        <v>45269</v>
      </c>
      <c r="B18" s="4" t="s">
        <v>10</v>
      </c>
      <c r="C18" s="4">
        <v>9.4</v>
      </c>
      <c r="D18" s="4">
        <v>5.7</v>
      </c>
      <c r="E18" s="4">
        <v>7.4</v>
      </c>
      <c r="F18" s="4">
        <v>3.4</v>
      </c>
      <c r="G18" s="4">
        <v>0.53900000000000003</v>
      </c>
      <c r="H18" s="4" t="s">
        <v>11</v>
      </c>
      <c r="I18" s="4">
        <v>28.4</v>
      </c>
      <c r="J18" s="4">
        <v>1</v>
      </c>
      <c r="K18" s="5">
        <f t="shared" si="0"/>
        <v>13.6906</v>
      </c>
    </row>
    <row r="19" spans="1:11" x14ac:dyDescent="0.2">
      <c r="A19" s="3">
        <v>45243</v>
      </c>
      <c r="B19" s="4" t="s">
        <v>10</v>
      </c>
      <c r="C19" s="4">
        <v>11.6</v>
      </c>
      <c r="D19" s="4">
        <v>7.2</v>
      </c>
      <c r="E19" s="4">
        <v>9.1999999999999993</v>
      </c>
      <c r="F19" s="4">
        <v>7.2</v>
      </c>
      <c r="G19" s="4">
        <v>0.51400000000000001</v>
      </c>
      <c r="H19" s="4" t="s">
        <v>11</v>
      </c>
      <c r="I19" s="4">
        <v>33.1</v>
      </c>
      <c r="J19" s="4">
        <v>2</v>
      </c>
      <c r="K19" s="5">
        <f t="shared" si="0"/>
        <v>13.0556</v>
      </c>
    </row>
    <row r="20" spans="1:11" x14ac:dyDescent="0.2">
      <c r="A20" s="3">
        <v>45257</v>
      </c>
      <c r="B20" s="4" t="s">
        <v>10</v>
      </c>
      <c r="C20" s="4">
        <v>5.7</v>
      </c>
      <c r="D20" s="4">
        <v>2.4</v>
      </c>
      <c r="E20" s="4">
        <v>4.2</v>
      </c>
      <c r="F20" s="4">
        <v>1.5</v>
      </c>
      <c r="G20" s="4">
        <v>0.50800000000000001</v>
      </c>
      <c r="H20" s="4" t="s">
        <v>11</v>
      </c>
      <c r="I20" s="4">
        <v>11.5</v>
      </c>
      <c r="J20" s="4">
        <v>1</v>
      </c>
      <c r="K20" s="5">
        <f t="shared" si="0"/>
        <v>12.9032</v>
      </c>
    </row>
    <row r="21" spans="1:11" x14ac:dyDescent="0.2">
      <c r="A21" s="3">
        <v>44834</v>
      </c>
      <c r="B21" s="4" t="s">
        <v>10</v>
      </c>
      <c r="C21" s="4">
        <v>12.5</v>
      </c>
      <c r="D21" s="4">
        <v>6.1</v>
      </c>
      <c r="E21" s="4">
        <v>9.6</v>
      </c>
      <c r="F21" s="4">
        <v>8.8000000000000007</v>
      </c>
      <c r="G21" s="4">
        <v>0.48299999999999998</v>
      </c>
      <c r="H21" s="4" t="s">
        <v>11</v>
      </c>
      <c r="I21" s="4">
        <v>22.5</v>
      </c>
      <c r="J21" s="4">
        <v>1</v>
      </c>
      <c r="K21" s="5">
        <f t="shared" si="0"/>
        <v>12.268199999999998</v>
      </c>
    </row>
    <row r="22" spans="1:11" x14ac:dyDescent="0.2">
      <c r="A22" s="3">
        <v>45264</v>
      </c>
      <c r="B22" s="4" t="s">
        <v>10</v>
      </c>
      <c r="C22" s="4">
        <v>4.9000000000000004</v>
      </c>
      <c r="D22" s="4">
        <v>0.2</v>
      </c>
      <c r="E22" s="4">
        <v>3</v>
      </c>
      <c r="F22" s="4">
        <v>-0.2</v>
      </c>
      <c r="G22" s="4">
        <v>0.45300000000000001</v>
      </c>
      <c r="H22" s="4" t="s">
        <v>12</v>
      </c>
      <c r="I22" s="4">
        <v>11.1</v>
      </c>
      <c r="J22" s="4">
        <v>0</v>
      </c>
      <c r="K22" s="5">
        <f t="shared" si="0"/>
        <v>11.5062</v>
      </c>
    </row>
    <row r="23" spans="1:11" x14ac:dyDescent="0.2">
      <c r="A23" s="3">
        <v>45292</v>
      </c>
      <c r="B23" s="4" t="s">
        <v>10</v>
      </c>
      <c r="C23" s="4">
        <v>7.4</v>
      </c>
      <c r="D23" s="4">
        <v>4.0999999999999996</v>
      </c>
      <c r="E23" s="4">
        <v>5.6</v>
      </c>
      <c r="F23" s="4">
        <v>2.2000000000000002</v>
      </c>
      <c r="G23" s="4">
        <v>0.44900000000000001</v>
      </c>
      <c r="H23" s="4" t="s">
        <v>11</v>
      </c>
      <c r="I23" s="4">
        <v>17.100000000000001</v>
      </c>
      <c r="J23" s="4">
        <v>3</v>
      </c>
      <c r="K23" s="5">
        <f t="shared" si="0"/>
        <v>11.4046</v>
      </c>
    </row>
    <row r="24" spans="1:11" x14ac:dyDescent="0.2">
      <c r="A24" s="3">
        <v>45244</v>
      </c>
      <c r="B24" s="4" t="s">
        <v>10</v>
      </c>
      <c r="C24" s="4">
        <v>9.9</v>
      </c>
      <c r="D24" s="4">
        <v>7.8</v>
      </c>
      <c r="E24" s="4">
        <v>8.8000000000000007</v>
      </c>
      <c r="F24" s="4">
        <v>7.1</v>
      </c>
      <c r="G24" s="4">
        <v>0.44600000000000001</v>
      </c>
      <c r="H24" s="4" t="s">
        <v>11</v>
      </c>
      <c r="I24" s="4">
        <v>15.5</v>
      </c>
      <c r="J24" s="4">
        <v>3</v>
      </c>
      <c r="K24" s="5">
        <f t="shared" si="0"/>
        <v>11.3284</v>
      </c>
    </row>
    <row r="25" spans="1:11" x14ac:dyDescent="0.2">
      <c r="A25" s="3">
        <v>45165</v>
      </c>
      <c r="B25" s="4" t="s">
        <v>10</v>
      </c>
      <c r="C25" s="4">
        <v>16.600000000000001</v>
      </c>
      <c r="D25" s="4">
        <v>8.1999999999999993</v>
      </c>
      <c r="E25" s="4">
        <v>12.6</v>
      </c>
      <c r="F25" s="4">
        <v>12.4</v>
      </c>
      <c r="G25" s="4">
        <v>0.44400000000000001</v>
      </c>
      <c r="H25" s="4" t="s">
        <v>11</v>
      </c>
      <c r="I25" s="4">
        <v>10</v>
      </c>
      <c r="J25" s="4">
        <v>9</v>
      </c>
      <c r="K25" s="5">
        <f t="shared" si="0"/>
        <v>11.2776</v>
      </c>
    </row>
    <row r="26" spans="1:11" x14ac:dyDescent="0.2">
      <c r="A26" s="3">
        <v>45152</v>
      </c>
      <c r="B26" s="4" t="s">
        <v>10</v>
      </c>
      <c r="C26" s="4">
        <v>19.2</v>
      </c>
      <c r="D26" s="4">
        <v>13.7</v>
      </c>
      <c r="E26" s="4">
        <v>15.9</v>
      </c>
      <c r="F26" s="4">
        <v>15.9</v>
      </c>
      <c r="G26" s="4">
        <v>0.43099999999999999</v>
      </c>
      <c r="H26" s="4" t="s">
        <v>11</v>
      </c>
      <c r="I26" s="4">
        <v>14.7</v>
      </c>
      <c r="J26" s="4">
        <v>6</v>
      </c>
      <c r="K26" s="5">
        <f t="shared" si="0"/>
        <v>10.9474</v>
      </c>
    </row>
    <row r="27" spans="1:11" x14ac:dyDescent="0.2">
      <c r="A27" s="3">
        <v>45097</v>
      </c>
      <c r="B27" s="4" t="s">
        <v>10</v>
      </c>
      <c r="C27" s="4">
        <v>17.8</v>
      </c>
      <c r="D27" s="4">
        <v>13.6</v>
      </c>
      <c r="E27" s="4">
        <v>15.8</v>
      </c>
      <c r="F27" s="4">
        <v>15.8</v>
      </c>
      <c r="G27" s="4">
        <v>0.42499999999999999</v>
      </c>
      <c r="H27" s="4" t="s">
        <v>11</v>
      </c>
      <c r="I27" s="4">
        <v>9.1</v>
      </c>
      <c r="J27" s="4">
        <v>2</v>
      </c>
      <c r="K27" s="5">
        <f t="shared" si="0"/>
        <v>10.795</v>
      </c>
    </row>
    <row r="28" spans="1:11" x14ac:dyDescent="0.2">
      <c r="A28" s="3">
        <v>44998</v>
      </c>
      <c r="B28" s="4" t="s">
        <v>10</v>
      </c>
      <c r="C28" s="4">
        <v>11.7</v>
      </c>
      <c r="D28" s="4">
        <v>4.0999999999999996</v>
      </c>
      <c r="E28" s="4">
        <v>9.6999999999999993</v>
      </c>
      <c r="F28" s="4">
        <v>8.5</v>
      </c>
      <c r="G28" s="4">
        <v>0.42299999999999999</v>
      </c>
      <c r="H28" s="4" t="s">
        <v>11</v>
      </c>
      <c r="I28" s="4">
        <v>27.6</v>
      </c>
      <c r="J28" s="4">
        <v>5</v>
      </c>
      <c r="K28" s="5">
        <f t="shared" si="0"/>
        <v>10.744199999999999</v>
      </c>
    </row>
    <row r="29" spans="1:11" x14ac:dyDescent="0.2">
      <c r="A29" s="3">
        <v>44810</v>
      </c>
      <c r="B29" s="4" t="s">
        <v>10</v>
      </c>
      <c r="C29" s="4">
        <v>20.100000000000001</v>
      </c>
      <c r="D29" s="4">
        <v>14.6</v>
      </c>
      <c r="E29" s="4">
        <v>16.600000000000001</v>
      </c>
      <c r="F29" s="4">
        <v>16.600000000000001</v>
      </c>
      <c r="G29" s="4">
        <v>0.41</v>
      </c>
      <c r="H29" s="4" t="s">
        <v>11</v>
      </c>
      <c r="I29" s="4">
        <v>10.8</v>
      </c>
      <c r="J29" s="4">
        <v>4</v>
      </c>
      <c r="K29" s="5">
        <f t="shared" si="0"/>
        <v>10.413999999999998</v>
      </c>
    </row>
    <row r="30" spans="1:11" x14ac:dyDescent="0.2">
      <c r="A30" s="3">
        <v>45095</v>
      </c>
      <c r="B30" s="4" t="s">
        <v>10</v>
      </c>
      <c r="C30" s="4">
        <v>22.7</v>
      </c>
      <c r="D30" s="4">
        <v>10.9</v>
      </c>
      <c r="E30" s="4">
        <v>16.100000000000001</v>
      </c>
      <c r="F30" s="4">
        <v>16.100000000000001</v>
      </c>
      <c r="G30" s="4">
        <v>0.40100000000000002</v>
      </c>
      <c r="H30" s="4" t="s">
        <v>11</v>
      </c>
      <c r="I30" s="4">
        <v>12.7</v>
      </c>
      <c r="J30" s="4">
        <v>8</v>
      </c>
      <c r="K30" s="5">
        <f t="shared" si="0"/>
        <v>10.1854</v>
      </c>
    </row>
    <row r="31" spans="1:11" x14ac:dyDescent="0.2">
      <c r="A31" s="3">
        <v>44933</v>
      </c>
      <c r="B31" s="4" t="s">
        <v>10</v>
      </c>
      <c r="C31" s="4">
        <v>11.6</v>
      </c>
      <c r="D31" s="4">
        <v>6.5</v>
      </c>
      <c r="E31" s="4">
        <v>9.6</v>
      </c>
      <c r="F31" s="4">
        <v>7.8</v>
      </c>
      <c r="G31" s="4">
        <v>0.39900000000000002</v>
      </c>
      <c r="H31" s="4" t="s">
        <v>11</v>
      </c>
      <c r="I31" s="4">
        <v>22.2</v>
      </c>
      <c r="J31" s="4">
        <v>2</v>
      </c>
      <c r="K31" s="5">
        <f t="shared" si="0"/>
        <v>10.134600000000001</v>
      </c>
    </row>
    <row r="32" spans="1:11" x14ac:dyDescent="0.2">
      <c r="A32" s="3">
        <v>44866</v>
      </c>
      <c r="B32" s="4" t="s">
        <v>10</v>
      </c>
      <c r="C32" s="4">
        <v>12.7</v>
      </c>
      <c r="D32" s="4">
        <v>7.6</v>
      </c>
      <c r="E32" s="4">
        <v>10.8</v>
      </c>
      <c r="F32" s="4">
        <v>10.199999999999999</v>
      </c>
      <c r="G32" s="4">
        <v>0.38700000000000001</v>
      </c>
      <c r="H32" s="4" t="s">
        <v>11</v>
      </c>
      <c r="I32" s="4">
        <v>19.7</v>
      </c>
      <c r="J32" s="4">
        <v>4</v>
      </c>
      <c r="K32" s="5">
        <f t="shared" si="0"/>
        <v>9.8298000000000005</v>
      </c>
    </row>
    <row r="33" spans="1:11" x14ac:dyDescent="0.2">
      <c r="A33" s="3">
        <v>45228</v>
      </c>
      <c r="B33" s="4" t="s">
        <v>10</v>
      </c>
      <c r="C33" s="4">
        <v>11.4</v>
      </c>
      <c r="D33" s="4">
        <v>8.6999999999999993</v>
      </c>
      <c r="E33" s="4">
        <v>10.1</v>
      </c>
      <c r="F33" s="4">
        <v>9.4</v>
      </c>
      <c r="G33" s="4">
        <v>0.38300000000000001</v>
      </c>
      <c r="H33" s="4" t="s">
        <v>11</v>
      </c>
      <c r="I33" s="4">
        <v>11.1</v>
      </c>
      <c r="J33" s="4">
        <v>2</v>
      </c>
      <c r="K33" s="5">
        <f t="shared" si="0"/>
        <v>9.7281999999999993</v>
      </c>
    </row>
    <row r="34" spans="1:11" x14ac:dyDescent="0.2">
      <c r="A34" s="3">
        <v>45116</v>
      </c>
      <c r="B34" s="4" t="s">
        <v>10</v>
      </c>
      <c r="C34" s="4">
        <v>22.7</v>
      </c>
      <c r="D34" s="4">
        <v>13.7</v>
      </c>
      <c r="E34" s="4">
        <v>17.8</v>
      </c>
      <c r="F34" s="4">
        <v>17.8</v>
      </c>
      <c r="G34" s="4">
        <v>0.38300000000000001</v>
      </c>
      <c r="H34" s="4" t="s">
        <v>11</v>
      </c>
      <c r="I34" s="4">
        <v>10.9</v>
      </c>
      <c r="J34" s="4">
        <v>9</v>
      </c>
      <c r="K34" s="5">
        <f t="shared" si="0"/>
        <v>9.7281999999999993</v>
      </c>
    </row>
    <row r="35" spans="1:11" x14ac:dyDescent="0.2">
      <c r="A35" s="3">
        <v>44936</v>
      </c>
      <c r="B35" s="4" t="s">
        <v>10</v>
      </c>
      <c r="C35" s="4">
        <v>12</v>
      </c>
      <c r="D35" s="4">
        <v>4.2</v>
      </c>
      <c r="E35" s="4">
        <v>7.2</v>
      </c>
      <c r="F35" s="4">
        <v>4.4000000000000004</v>
      </c>
      <c r="G35" s="4">
        <v>0.375</v>
      </c>
      <c r="H35" s="4" t="s">
        <v>11</v>
      </c>
      <c r="I35" s="4">
        <v>23.1</v>
      </c>
      <c r="J35" s="4">
        <v>0</v>
      </c>
      <c r="K35" s="5">
        <f t="shared" si="0"/>
        <v>9.5249999999999986</v>
      </c>
    </row>
    <row r="36" spans="1:11" x14ac:dyDescent="0.2">
      <c r="A36" s="3">
        <v>45010</v>
      </c>
      <c r="B36" s="4" t="s">
        <v>10</v>
      </c>
      <c r="C36" s="4">
        <v>10.199999999999999</v>
      </c>
      <c r="D36" s="4">
        <v>4.8</v>
      </c>
      <c r="E36" s="4">
        <v>7.4</v>
      </c>
      <c r="F36" s="4">
        <v>4.8</v>
      </c>
      <c r="G36" s="4">
        <v>0.374</v>
      </c>
      <c r="H36" s="4" t="s">
        <v>11</v>
      </c>
      <c r="I36" s="4">
        <v>17.399999999999999</v>
      </c>
      <c r="J36" s="4">
        <v>3</v>
      </c>
      <c r="K36" s="5">
        <f t="shared" si="0"/>
        <v>9.4995999999999992</v>
      </c>
    </row>
    <row r="37" spans="1:11" x14ac:dyDescent="0.2">
      <c r="A37" s="3">
        <v>45248</v>
      </c>
      <c r="B37" s="4" t="s">
        <v>10</v>
      </c>
      <c r="C37" s="4">
        <v>13.1</v>
      </c>
      <c r="D37" s="4">
        <v>5.9</v>
      </c>
      <c r="E37" s="4">
        <v>9.6999999999999993</v>
      </c>
      <c r="F37" s="4">
        <v>8</v>
      </c>
      <c r="G37" s="4">
        <v>0.372</v>
      </c>
      <c r="H37" s="4" t="s">
        <v>11</v>
      </c>
      <c r="I37" s="4">
        <v>17.600000000000001</v>
      </c>
      <c r="J37" s="4">
        <v>3</v>
      </c>
      <c r="K37" s="5">
        <f t="shared" si="0"/>
        <v>9.4487999999999985</v>
      </c>
    </row>
    <row r="38" spans="1:11" x14ac:dyDescent="0.2">
      <c r="A38" s="3">
        <v>45212</v>
      </c>
      <c r="B38" s="4" t="s">
        <v>10</v>
      </c>
      <c r="C38" s="4">
        <v>12.6</v>
      </c>
      <c r="D38" s="4">
        <v>8.3000000000000007</v>
      </c>
      <c r="E38" s="4">
        <v>10.6</v>
      </c>
      <c r="F38" s="4">
        <v>10</v>
      </c>
      <c r="G38" s="4">
        <v>0.36899999999999999</v>
      </c>
      <c r="H38" s="4" t="s">
        <v>11</v>
      </c>
      <c r="I38" s="4">
        <v>13.7</v>
      </c>
      <c r="J38" s="4">
        <v>2</v>
      </c>
      <c r="K38" s="5">
        <f t="shared" si="0"/>
        <v>9.3725999999999985</v>
      </c>
    </row>
    <row r="39" spans="1:11" x14ac:dyDescent="0.2">
      <c r="A39" s="3">
        <v>44865</v>
      </c>
      <c r="B39" s="4" t="s">
        <v>10</v>
      </c>
      <c r="C39" s="4">
        <v>14.3</v>
      </c>
      <c r="D39" s="4">
        <v>9.4</v>
      </c>
      <c r="E39" s="4">
        <v>11.6</v>
      </c>
      <c r="F39" s="4">
        <v>10.9</v>
      </c>
      <c r="G39" s="4">
        <v>0.36399999999999999</v>
      </c>
      <c r="H39" s="4" t="s">
        <v>11</v>
      </c>
      <c r="I39" s="4">
        <v>14.2</v>
      </c>
      <c r="J39" s="4">
        <v>3</v>
      </c>
      <c r="K39" s="5">
        <f t="shared" si="0"/>
        <v>9.2455999999999996</v>
      </c>
    </row>
    <row r="40" spans="1:11" x14ac:dyDescent="0.2">
      <c r="A40" s="3">
        <v>45143</v>
      </c>
      <c r="B40" s="4" t="s">
        <v>10</v>
      </c>
      <c r="C40" s="4">
        <v>14.6</v>
      </c>
      <c r="D40" s="4">
        <v>10.9</v>
      </c>
      <c r="E40" s="4">
        <v>12.6</v>
      </c>
      <c r="F40" s="4">
        <v>12.6</v>
      </c>
      <c r="G40" s="4">
        <v>0.35799999999999998</v>
      </c>
      <c r="H40" s="4" t="s">
        <v>11</v>
      </c>
      <c r="I40" s="4">
        <v>12.7</v>
      </c>
      <c r="J40" s="4">
        <v>5</v>
      </c>
      <c r="K40" s="5">
        <f t="shared" si="0"/>
        <v>9.0931999999999995</v>
      </c>
    </row>
    <row r="41" spans="1:11" x14ac:dyDescent="0.2">
      <c r="A41" s="3">
        <v>44888</v>
      </c>
      <c r="B41" s="4" t="s">
        <v>10</v>
      </c>
      <c r="C41" s="4">
        <v>9</v>
      </c>
      <c r="D41" s="4">
        <v>1.9</v>
      </c>
      <c r="E41" s="4">
        <v>5.2</v>
      </c>
      <c r="F41" s="4">
        <v>1.7</v>
      </c>
      <c r="G41" s="4">
        <v>0.35499999999999998</v>
      </c>
      <c r="H41" s="4" t="s">
        <v>11</v>
      </c>
      <c r="I41" s="4">
        <v>15.4</v>
      </c>
      <c r="J41" s="4">
        <v>2</v>
      </c>
      <c r="K41" s="5">
        <f t="shared" si="0"/>
        <v>9.0169999999999995</v>
      </c>
    </row>
    <row r="42" spans="1:11" x14ac:dyDescent="0.2">
      <c r="A42" s="3">
        <v>45288</v>
      </c>
      <c r="B42" s="4" t="s">
        <v>10</v>
      </c>
      <c r="C42" s="4">
        <v>8.8000000000000007</v>
      </c>
      <c r="D42" s="4">
        <v>7</v>
      </c>
      <c r="E42" s="4">
        <v>7.8</v>
      </c>
      <c r="F42" s="4">
        <v>3.4</v>
      </c>
      <c r="G42" s="4">
        <v>0.35399999999999998</v>
      </c>
      <c r="H42" s="4" t="s">
        <v>11</v>
      </c>
      <c r="I42" s="4">
        <v>26.2</v>
      </c>
      <c r="J42" s="4">
        <v>1</v>
      </c>
      <c r="K42" s="5">
        <f t="shared" si="0"/>
        <v>8.9915999999999983</v>
      </c>
    </row>
    <row r="43" spans="1:11" x14ac:dyDescent="0.2">
      <c r="A43" s="3">
        <v>45121</v>
      </c>
      <c r="B43" s="4" t="s">
        <v>10</v>
      </c>
      <c r="C43" s="4">
        <v>16.8</v>
      </c>
      <c r="D43" s="4">
        <v>10.4</v>
      </c>
      <c r="E43" s="4">
        <v>14.1</v>
      </c>
      <c r="F43" s="4">
        <v>14.1</v>
      </c>
      <c r="G43" s="4">
        <v>0.34599999999999997</v>
      </c>
      <c r="H43" s="4" t="s">
        <v>11</v>
      </c>
      <c r="I43" s="4">
        <v>18</v>
      </c>
      <c r="J43" s="4">
        <v>2</v>
      </c>
      <c r="K43" s="5">
        <f t="shared" si="0"/>
        <v>8.7883999999999993</v>
      </c>
    </row>
    <row r="44" spans="1:11" x14ac:dyDescent="0.2">
      <c r="A44" s="3">
        <v>44605</v>
      </c>
      <c r="B44" s="4" t="s">
        <v>10</v>
      </c>
      <c r="C44" s="4">
        <v>8.5</v>
      </c>
      <c r="D44" s="4">
        <v>7.1</v>
      </c>
      <c r="E44" s="4">
        <v>7.7</v>
      </c>
      <c r="F44" s="4">
        <v>4.2</v>
      </c>
      <c r="G44" s="4">
        <v>0.34399999999999997</v>
      </c>
      <c r="H44" s="4" t="s">
        <v>11</v>
      </c>
      <c r="I44" s="4">
        <v>18.100000000000001</v>
      </c>
      <c r="J44" s="4">
        <v>1</v>
      </c>
      <c r="K44" s="5">
        <f t="shared" si="0"/>
        <v>8.7375999999999987</v>
      </c>
    </row>
    <row r="45" spans="1:11" x14ac:dyDescent="0.2">
      <c r="A45" s="3">
        <v>44857</v>
      </c>
      <c r="B45" s="4" t="s">
        <v>10</v>
      </c>
      <c r="C45" s="4">
        <v>14.5</v>
      </c>
      <c r="D45" s="4">
        <v>11.6</v>
      </c>
      <c r="E45" s="4">
        <v>12.8</v>
      </c>
      <c r="F45" s="4">
        <v>12.8</v>
      </c>
      <c r="G45" s="4">
        <v>0.34300000000000003</v>
      </c>
      <c r="H45" s="4" t="s">
        <v>11</v>
      </c>
      <c r="I45" s="4">
        <v>14.3</v>
      </c>
      <c r="J45" s="4">
        <v>1</v>
      </c>
      <c r="K45" s="5">
        <f t="shared" si="0"/>
        <v>8.7122000000000011</v>
      </c>
    </row>
    <row r="46" spans="1:11" x14ac:dyDescent="0.2">
      <c r="A46" s="3">
        <v>44697</v>
      </c>
      <c r="B46" s="4" t="s">
        <v>10</v>
      </c>
      <c r="C46" s="4">
        <v>18.7</v>
      </c>
      <c r="D46" s="4">
        <v>10</v>
      </c>
      <c r="E46" s="4">
        <v>13.1</v>
      </c>
      <c r="F46" s="4">
        <v>13.1</v>
      </c>
      <c r="G46" s="4">
        <v>0.34300000000000003</v>
      </c>
      <c r="H46" s="4" t="s">
        <v>11</v>
      </c>
      <c r="I46" s="4">
        <v>10.199999999999999</v>
      </c>
      <c r="J46" s="4">
        <v>5</v>
      </c>
      <c r="K46" s="5">
        <f t="shared" si="0"/>
        <v>8.7122000000000011</v>
      </c>
    </row>
    <row r="47" spans="1:11" x14ac:dyDescent="0.2">
      <c r="A47" s="3">
        <v>44918</v>
      </c>
      <c r="B47" s="4" t="s">
        <v>10</v>
      </c>
      <c r="C47" s="4">
        <v>6.4</v>
      </c>
      <c r="D47" s="4">
        <v>3.7</v>
      </c>
      <c r="E47" s="4">
        <v>5.2</v>
      </c>
      <c r="F47" s="4">
        <v>3.2</v>
      </c>
      <c r="G47" s="4">
        <v>0.31900000000000001</v>
      </c>
      <c r="H47" s="4" t="s">
        <v>11</v>
      </c>
      <c r="I47" s="4">
        <v>10.3</v>
      </c>
      <c r="J47" s="4">
        <v>1</v>
      </c>
      <c r="K47" s="5">
        <f t="shared" si="0"/>
        <v>8.1025999999999989</v>
      </c>
    </row>
    <row r="48" spans="1:11" x14ac:dyDescent="0.2">
      <c r="A48" s="3">
        <v>45027</v>
      </c>
      <c r="B48" s="4" t="s">
        <v>10</v>
      </c>
      <c r="C48" s="4">
        <v>12</v>
      </c>
      <c r="D48" s="4">
        <v>5.3</v>
      </c>
      <c r="E48" s="4">
        <v>7.9</v>
      </c>
      <c r="F48" s="4">
        <v>4.9000000000000004</v>
      </c>
      <c r="G48" s="4">
        <v>0.317</v>
      </c>
      <c r="H48" s="4" t="s">
        <v>11</v>
      </c>
      <c r="I48" s="4">
        <v>26.3</v>
      </c>
      <c r="J48" s="4">
        <v>7</v>
      </c>
      <c r="K48" s="5">
        <f t="shared" si="0"/>
        <v>8.0518000000000001</v>
      </c>
    </row>
    <row r="49" spans="1:11" x14ac:dyDescent="0.2">
      <c r="A49" s="3">
        <v>44658</v>
      </c>
      <c r="B49" s="4" t="s">
        <v>10</v>
      </c>
      <c r="C49" s="4">
        <v>7.9</v>
      </c>
      <c r="D49" s="4">
        <v>2.7</v>
      </c>
      <c r="E49" s="4">
        <v>5.6</v>
      </c>
      <c r="F49" s="4">
        <v>1.1000000000000001</v>
      </c>
      <c r="G49" s="4">
        <v>0.316</v>
      </c>
      <c r="H49" s="4" t="s">
        <v>11</v>
      </c>
      <c r="I49" s="4">
        <v>23.9</v>
      </c>
      <c r="J49" s="4">
        <v>3</v>
      </c>
      <c r="K49" s="5">
        <f t="shared" si="0"/>
        <v>8.0263999999999989</v>
      </c>
    </row>
    <row r="50" spans="1:11" x14ac:dyDescent="0.2">
      <c r="A50" s="3">
        <v>45142</v>
      </c>
      <c r="B50" s="4" t="s">
        <v>10</v>
      </c>
      <c r="C50" s="4">
        <v>15.8</v>
      </c>
      <c r="D50" s="4">
        <v>12.3</v>
      </c>
      <c r="E50" s="4">
        <v>14</v>
      </c>
      <c r="F50" s="4">
        <v>14</v>
      </c>
      <c r="G50" s="4">
        <v>0.316</v>
      </c>
      <c r="H50" s="4" t="s">
        <v>11</v>
      </c>
      <c r="I50" s="4">
        <v>8</v>
      </c>
      <c r="J50" s="4">
        <v>10</v>
      </c>
      <c r="K50" s="5">
        <f t="shared" si="0"/>
        <v>8.0263999999999989</v>
      </c>
    </row>
    <row r="51" spans="1:11" x14ac:dyDescent="0.2">
      <c r="A51" s="3">
        <v>44773</v>
      </c>
      <c r="B51" s="4" t="s">
        <v>10</v>
      </c>
      <c r="C51" s="4">
        <v>19.100000000000001</v>
      </c>
      <c r="D51" s="4">
        <v>13.2</v>
      </c>
      <c r="E51" s="4">
        <v>16.899999999999999</v>
      </c>
      <c r="F51" s="4">
        <v>16.899999999999999</v>
      </c>
      <c r="G51" s="4">
        <v>0.314</v>
      </c>
      <c r="H51" s="4" t="s">
        <v>11</v>
      </c>
      <c r="I51" s="4">
        <v>11.1</v>
      </c>
      <c r="J51" s="4">
        <v>7</v>
      </c>
      <c r="K51" s="5">
        <f t="shared" si="0"/>
        <v>7.9756</v>
      </c>
    </row>
    <row r="52" spans="1:11" x14ac:dyDescent="0.2">
      <c r="A52" s="3">
        <v>44812</v>
      </c>
      <c r="B52" s="4" t="s">
        <v>10</v>
      </c>
      <c r="C52" s="4">
        <v>17.399999999999999</v>
      </c>
      <c r="D52" s="4">
        <v>11.5</v>
      </c>
      <c r="E52" s="4">
        <v>14.2</v>
      </c>
      <c r="F52" s="4">
        <v>14.2</v>
      </c>
      <c r="G52" s="4">
        <v>0.312</v>
      </c>
      <c r="H52" s="4" t="s">
        <v>11</v>
      </c>
      <c r="I52" s="4">
        <v>6.2</v>
      </c>
      <c r="J52" s="4">
        <v>5</v>
      </c>
      <c r="K52" s="5">
        <f t="shared" si="0"/>
        <v>7.9247999999999994</v>
      </c>
    </row>
    <row r="53" spans="1:11" x14ac:dyDescent="0.2">
      <c r="A53" s="3">
        <v>45230</v>
      </c>
      <c r="B53" s="4" t="s">
        <v>10</v>
      </c>
      <c r="C53" s="4">
        <v>7.9</v>
      </c>
      <c r="D53" s="4">
        <v>6.9</v>
      </c>
      <c r="E53" s="4">
        <v>7.3</v>
      </c>
      <c r="F53" s="4">
        <v>5.6</v>
      </c>
      <c r="G53" s="4">
        <v>0.30599999999999999</v>
      </c>
      <c r="H53" s="4" t="s">
        <v>11</v>
      </c>
      <c r="I53" s="4">
        <v>8.9</v>
      </c>
      <c r="J53" s="4">
        <v>1</v>
      </c>
      <c r="K53" s="5">
        <f t="shared" si="0"/>
        <v>7.7723999999999993</v>
      </c>
    </row>
    <row r="54" spans="1:11" x14ac:dyDescent="0.2">
      <c r="A54" s="3">
        <v>45015</v>
      </c>
      <c r="B54" s="4" t="s">
        <v>10</v>
      </c>
      <c r="C54" s="4">
        <v>14</v>
      </c>
      <c r="D54" s="4">
        <v>9.3000000000000007</v>
      </c>
      <c r="E54" s="4">
        <v>11.1</v>
      </c>
      <c r="F54" s="4">
        <v>10.3</v>
      </c>
      <c r="G54" s="4">
        <v>0.30599999999999999</v>
      </c>
      <c r="H54" s="4" t="s">
        <v>11</v>
      </c>
      <c r="I54" s="4">
        <v>14.6</v>
      </c>
      <c r="J54" s="4">
        <v>6</v>
      </c>
      <c r="K54" s="5">
        <f t="shared" si="0"/>
        <v>7.7723999999999993</v>
      </c>
    </row>
    <row r="55" spans="1:11" x14ac:dyDescent="0.2">
      <c r="A55" s="3">
        <v>44839</v>
      </c>
      <c r="B55" s="4" t="s">
        <v>10</v>
      </c>
      <c r="C55" s="4">
        <v>16</v>
      </c>
      <c r="D55" s="4">
        <v>9.5</v>
      </c>
      <c r="E55" s="4">
        <v>13.2</v>
      </c>
      <c r="F55" s="4">
        <v>12.8</v>
      </c>
      <c r="G55" s="4">
        <v>0.30599999999999999</v>
      </c>
      <c r="H55" s="4" t="s">
        <v>11</v>
      </c>
      <c r="I55" s="4">
        <v>20.7</v>
      </c>
      <c r="J55" s="4">
        <v>2</v>
      </c>
      <c r="K55" s="5">
        <f t="shared" si="0"/>
        <v>7.7723999999999993</v>
      </c>
    </row>
    <row r="56" spans="1:11" x14ac:dyDescent="0.2">
      <c r="A56" s="3">
        <v>45231</v>
      </c>
      <c r="B56" s="4" t="s">
        <v>10</v>
      </c>
      <c r="C56" s="4">
        <v>12.7</v>
      </c>
      <c r="D56" s="4">
        <v>6</v>
      </c>
      <c r="E56" s="4">
        <v>9.4</v>
      </c>
      <c r="F56" s="4">
        <v>7.9</v>
      </c>
      <c r="G56" s="4">
        <v>0.30399999999999999</v>
      </c>
      <c r="H56" s="4" t="s">
        <v>11</v>
      </c>
      <c r="I56" s="4">
        <v>19.7</v>
      </c>
      <c r="J56" s="4">
        <v>3</v>
      </c>
      <c r="K56" s="5">
        <f t="shared" si="0"/>
        <v>7.7215999999999996</v>
      </c>
    </row>
    <row r="57" spans="1:11" x14ac:dyDescent="0.2">
      <c r="A57" s="3">
        <v>45290</v>
      </c>
      <c r="B57" s="4" t="s">
        <v>10</v>
      </c>
      <c r="C57" s="4">
        <v>9.1999999999999993</v>
      </c>
      <c r="D57" s="4">
        <v>2.1</v>
      </c>
      <c r="E57" s="4">
        <v>5.3</v>
      </c>
      <c r="F57" s="4">
        <v>1.8</v>
      </c>
      <c r="G57" s="4">
        <v>0.30099999999999999</v>
      </c>
      <c r="H57" s="4" t="s">
        <v>11</v>
      </c>
      <c r="I57" s="4">
        <v>21.7</v>
      </c>
      <c r="J57" s="4">
        <v>0</v>
      </c>
      <c r="K57" s="5">
        <f t="shared" si="0"/>
        <v>7.6453999999999995</v>
      </c>
    </row>
    <row r="58" spans="1:11" x14ac:dyDescent="0.2">
      <c r="A58" s="3">
        <v>45291</v>
      </c>
      <c r="B58" s="4" t="s">
        <v>10</v>
      </c>
      <c r="C58" s="4">
        <v>7</v>
      </c>
      <c r="D58" s="4">
        <v>4.0999999999999996</v>
      </c>
      <c r="E58" s="4">
        <v>5.8</v>
      </c>
      <c r="F58" s="4">
        <v>2.7</v>
      </c>
      <c r="G58" s="4">
        <v>0.29699999999999999</v>
      </c>
      <c r="H58" s="4" t="s">
        <v>11</v>
      </c>
      <c r="I58" s="4">
        <v>16.8</v>
      </c>
      <c r="J58" s="4">
        <v>1</v>
      </c>
      <c r="K58" s="5">
        <f t="shared" si="0"/>
        <v>7.5437999999999992</v>
      </c>
    </row>
    <row r="59" spans="1:11" x14ac:dyDescent="0.2">
      <c r="A59" s="3">
        <v>44718</v>
      </c>
      <c r="B59" s="4" t="s">
        <v>10</v>
      </c>
      <c r="C59" s="4">
        <v>14.1</v>
      </c>
      <c r="D59" s="4">
        <v>9.4</v>
      </c>
      <c r="E59" s="4">
        <v>11.4</v>
      </c>
      <c r="F59" s="4">
        <v>10.8</v>
      </c>
      <c r="G59" s="4">
        <v>0.29599999999999999</v>
      </c>
      <c r="H59" s="4" t="s">
        <v>11</v>
      </c>
      <c r="I59" s="4">
        <v>10.3</v>
      </c>
      <c r="J59" s="4">
        <v>6</v>
      </c>
      <c r="K59" s="5">
        <f t="shared" si="0"/>
        <v>7.5183999999999989</v>
      </c>
    </row>
    <row r="60" spans="1:11" x14ac:dyDescent="0.2">
      <c r="A60" s="3">
        <v>45189</v>
      </c>
      <c r="B60" s="4" t="s">
        <v>10</v>
      </c>
      <c r="C60" s="4">
        <v>17.3</v>
      </c>
      <c r="D60" s="4">
        <v>11.1</v>
      </c>
      <c r="E60" s="4">
        <v>15.8</v>
      </c>
      <c r="F60" s="4">
        <v>15.8</v>
      </c>
      <c r="G60" s="4">
        <v>0.29599999999999999</v>
      </c>
      <c r="H60" s="4" t="s">
        <v>11</v>
      </c>
      <c r="I60" s="4">
        <v>23.4</v>
      </c>
      <c r="J60" s="4">
        <v>4</v>
      </c>
      <c r="K60" s="5">
        <f t="shared" si="0"/>
        <v>7.5183999999999989</v>
      </c>
    </row>
    <row r="61" spans="1:11" x14ac:dyDescent="0.2">
      <c r="A61" s="3">
        <v>45030</v>
      </c>
      <c r="B61" s="4" t="s">
        <v>10</v>
      </c>
      <c r="C61" s="4">
        <v>9</v>
      </c>
      <c r="D61" s="4">
        <v>1.2</v>
      </c>
      <c r="E61" s="4">
        <v>5.2</v>
      </c>
      <c r="F61" s="4">
        <v>2.7</v>
      </c>
      <c r="G61" s="4">
        <v>0.29299999999999998</v>
      </c>
      <c r="H61" s="4" t="s">
        <v>11</v>
      </c>
      <c r="I61" s="4">
        <v>13.3</v>
      </c>
      <c r="J61" s="4">
        <v>5</v>
      </c>
      <c r="K61" s="5">
        <f t="shared" si="0"/>
        <v>7.4421999999999988</v>
      </c>
    </row>
    <row r="62" spans="1:11" x14ac:dyDescent="0.2">
      <c r="A62" s="3">
        <v>45225</v>
      </c>
      <c r="B62" s="4" t="s">
        <v>10</v>
      </c>
      <c r="C62" s="4">
        <v>10.9</v>
      </c>
      <c r="D62" s="4">
        <v>7.8</v>
      </c>
      <c r="E62" s="4">
        <v>9.3000000000000007</v>
      </c>
      <c r="F62" s="4">
        <v>8.4</v>
      </c>
      <c r="G62" s="4">
        <v>0.29199999999999998</v>
      </c>
      <c r="H62" s="4" t="s">
        <v>11</v>
      </c>
      <c r="I62" s="4">
        <v>8.1999999999999993</v>
      </c>
      <c r="J62" s="4">
        <v>1</v>
      </c>
      <c r="K62" s="5">
        <f t="shared" si="0"/>
        <v>7.4167999999999994</v>
      </c>
    </row>
    <row r="63" spans="1:11" x14ac:dyDescent="0.2">
      <c r="A63" s="3">
        <v>44720</v>
      </c>
      <c r="B63" s="4" t="s">
        <v>10</v>
      </c>
      <c r="C63" s="4">
        <v>18.2</v>
      </c>
      <c r="D63" s="4">
        <v>10.4</v>
      </c>
      <c r="E63" s="4">
        <v>14.3</v>
      </c>
      <c r="F63" s="4">
        <v>14.3</v>
      </c>
      <c r="G63" s="4">
        <v>0.27600000000000002</v>
      </c>
      <c r="H63" s="4" t="s">
        <v>11</v>
      </c>
      <c r="I63" s="4">
        <v>13.6</v>
      </c>
      <c r="J63" s="4">
        <v>8</v>
      </c>
      <c r="K63" s="5">
        <f t="shared" si="0"/>
        <v>7.0104000000000006</v>
      </c>
    </row>
    <row r="64" spans="1:11" x14ac:dyDescent="0.2">
      <c r="A64" s="3">
        <v>45122</v>
      </c>
      <c r="B64" s="4" t="s">
        <v>10</v>
      </c>
      <c r="C64" s="4">
        <v>17.899999999999999</v>
      </c>
      <c r="D64" s="4">
        <v>13.3</v>
      </c>
      <c r="E64" s="4">
        <v>15.7</v>
      </c>
      <c r="F64" s="4">
        <v>15.7</v>
      </c>
      <c r="G64" s="4">
        <v>0.27500000000000002</v>
      </c>
      <c r="H64" s="4" t="s">
        <v>11</v>
      </c>
      <c r="I64" s="4">
        <v>21.8</v>
      </c>
      <c r="J64" s="4">
        <v>9</v>
      </c>
      <c r="K64" s="5">
        <f t="shared" si="0"/>
        <v>6.9850000000000003</v>
      </c>
    </row>
    <row r="65" spans="1:11" x14ac:dyDescent="0.2">
      <c r="A65" s="3">
        <v>45129</v>
      </c>
      <c r="B65" s="4" t="s">
        <v>10</v>
      </c>
      <c r="C65" s="4">
        <v>16.2</v>
      </c>
      <c r="D65" s="4">
        <v>11.9</v>
      </c>
      <c r="E65" s="4">
        <v>14.1</v>
      </c>
      <c r="F65" s="4">
        <v>14.1</v>
      </c>
      <c r="G65" s="4">
        <v>0.27400000000000002</v>
      </c>
      <c r="H65" s="4" t="s">
        <v>11</v>
      </c>
      <c r="I65" s="4">
        <v>12.7</v>
      </c>
      <c r="J65" s="4">
        <v>2</v>
      </c>
      <c r="K65" s="5">
        <f t="shared" si="0"/>
        <v>6.9596</v>
      </c>
    </row>
    <row r="66" spans="1:11" x14ac:dyDescent="0.2">
      <c r="A66" s="3">
        <v>45022</v>
      </c>
      <c r="B66" s="4" t="s">
        <v>10</v>
      </c>
      <c r="C66" s="4">
        <v>11.8</v>
      </c>
      <c r="D66" s="4">
        <v>6.9</v>
      </c>
      <c r="E66" s="4">
        <v>9.4</v>
      </c>
      <c r="F66" s="4">
        <v>8.1999999999999993</v>
      </c>
      <c r="G66" s="4">
        <v>0.27200000000000002</v>
      </c>
      <c r="H66" s="4" t="s">
        <v>11</v>
      </c>
      <c r="I66" s="4">
        <v>16.8</v>
      </c>
      <c r="J66" s="4">
        <v>5</v>
      </c>
      <c r="K66" s="5">
        <f t="shared" ref="K66:K129" si="1">SUM(G66*25.4)</f>
        <v>6.9088000000000003</v>
      </c>
    </row>
    <row r="67" spans="1:11" x14ac:dyDescent="0.2">
      <c r="A67" s="3">
        <v>44598</v>
      </c>
      <c r="B67" s="4" t="s">
        <v>10</v>
      </c>
      <c r="C67" s="4">
        <v>6.9</v>
      </c>
      <c r="D67" s="4">
        <v>2.2999999999999998</v>
      </c>
      <c r="E67" s="4">
        <v>5</v>
      </c>
      <c r="F67" s="4">
        <v>0.2</v>
      </c>
      <c r="G67" s="4">
        <v>0.26200000000000001</v>
      </c>
      <c r="H67" s="4" t="s">
        <v>11</v>
      </c>
      <c r="I67" s="4">
        <v>23.9</v>
      </c>
      <c r="J67" s="4">
        <v>2</v>
      </c>
      <c r="K67" s="5">
        <f t="shared" si="1"/>
        <v>6.6547999999999998</v>
      </c>
    </row>
    <row r="68" spans="1:11" x14ac:dyDescent="0.2">
      <c r="A68" s="3">
        <v>45038</v>
      </c>
      <c r="B68" s="4" t="s">
        <v>10</v>
      </c>
      <c r="C68" s="4">
        <v>11.9</v>
      </c>
      <c r="D68" s="4">
        <v>7.4</v>
      </c>
      <c r="E68" s="4">
        <v>8.9</v>
      </c>
      <c r="F68" s="4">
        <v>7.7</v>
      </c>
      <c r="G68" s="4">
        <v>0.26200000000000001</v>
      </c>
      <c r="H68" s="4" t="s">
        <v>11</v>
      </c>
      <c r="I68" s="4">
        <v>10.3</v>
      </c>
      <c r="J68" s="4">
        <v>5</v>
      </c>
      <c r="K68" s="5">
        <f t="shared" si="1"/>
        <v>6.6547999999999998</v>
      </c>
    </row>
    <row r="69" spans="1:11" x14ac:dyDescent="0.2">
      <c r="A69" s="3">
        <v>45188</v>
      </c>
      <c r="B69" s="4" t="s">
        <v>10</v>
      </c>
      <c r="C69" s="4">
        <v>19</v>
      </c>
      <c r="D69" s="4">
        <v>9.6999999999999993</v>
      </c>
      <c r="E69" s="4">
        <v>14.6</v>
      </c>
      <c r="F69" s="4">
        <v>14.4</v>
      </c>
      <c r="G69" s="4">
        <v>0.26200000000000001</v>
      </c>
      <c r="H69" s="4" t="s">
        <v>11</v>
      </c>
      <c r="I69" s="4">
        <v>22.5</v>
      </c>
      <c r="J69" s="4">
        <v>5</v>
      </c>
      <c r="K69" s="5">
        <f t="shared" si="1"/>
        <v>6.6547999999999998</v>
      </c>
    </row>
    <row r="70" spans="1:11" x14ac:dyDescent="0.2">
      <c r="A70" s="3">
        <v>45134</v>
      </c>
      <c r="B70" s="4" t="s">
        <v>10</v>
      </c>
      <c r="C70" s="4">
        <v>21.8</v>
      </c>
      <c r="D70" s="4">
        <v>13.7</v>
      </c>
      <c r="E70" s="4">
        <v>17.3</v>
      </c>
      <c r="F70" s="4">
        <v>17.3</v>
      </c>
      <c r="G70" s="4">
        <v>0.26</v>
      </c>
      <c r="H70" s="4" t="s">
        <v>11</v>
      </c>
      <c r="I70" s="4">
        <v>14.1</v>
      </c>
      <c r="J70" s="4">
        <v>6</v>
      </c>
      <c r="K70" s="5">
        <f t="shared" si="1"/>
        <v>6.6040000000000001</v>
      </c>
    </row>
    <row r="71" spans="1:11" x14ac:dyDescent="0.2">
      <c r="A71" s="3">
        <v>44624</v>
      </c>
      <c r="B71" s="4" t="s">
        <v>10</v>
      </c>
      <c r="C71" s="4">
        <v>5.9</v>
      </c>
      <c r="D71" s="4">
        <v>4.3</v>
      </c>
      <c r="E71" s="4">
        <v>5.0999999999999996</v>
      </c>
      <c r="F71" s="4">
        <v>2.6</v>
      </c>
      <c r="G71" s="4">
        <v>0.25700000000000001</v>
      </c>
      <c r="H71" s="4" t="s">
        <v>11</v>
      </c>
      <c r="I71" s="4">
        <v>9.9</v>
      </c>
      <c r="J71" s="4">
        <v>1</v>
      </c>
      <c r="K71" s="5">
        <f t="shared" si="1"/>
        <v>6.5278</v>
      </c>
    </row>
    <row r="72" spans="1:11" x14ac:dyDescent="0.2">
      <c r="A72" s="3">
        <v>44886</v>
      </c>
      <c r="B72" s="4" t="s">
        <v>10</v>
      </c>
      <c r="C72" s="4">
        <v>6.7</v>
      </c>
      <c r="D72" s="4">
        <v>-0.1</v>
      </c>
      <c r="E72" s="4">
        <v>3.3</v>
      </c>
      <c r="F72" s="4">
        <v>0.5</v>
      </c>
      <c r="G72" s="4">
        <v>0.25700000000000001</v>
      </c>
      <c r="H72" s="4" t="s">
        <v>12</v>
      </c>
      <c r="I72" s="4">
        <v>13.6</v>
      </c>
      <c r="J72" s="4">
        <v>1</v>
      </c>
      <c r="K72" s="5">
        <f t="shared" si="1"/>
        <v>6.5278</v>
      </c>
    </row>
    <row r="73" spans="1:11" x14ac:dyDescent="0.2">
      <c r="A73" s="3">
        <v>45051</v>
      </c>
      <c r="B73" s="4" t="s">
        <v>10</v>
      </c>
      <c r="C73" s="4">
        <v>15.3</v>
      </c>
      <c r="D73" s="4">
        <v>7.9</v>
      </c>
      <c r="E73" s="4">
        <v>11.2</v>
      </c>
      <c r="F73" s="4">
        <v>10.8</v>
      </c>
      <c r="G73" s="4">
        <v>0.25700000000000001</v>
      </c>
      <c r="H73" s="4" t="s">
        <v>11</v>
      </c>
      <c r="I73" s="4">
        <v>9.4</v>
      </c>
      <c r="J73" s="4">
        <v>8</v>
      </c>
      <c r="K73" s="5">
        <f t="shared" si="1"/>
        <v>6.5278</v>
      </c>
    </row>
    <row r="74" spans="1:11" x14ac:dyDescent="0.2">
      <c r="A74" s="3">
        <v>44873</v>
      </c>
      <c r="B74" s="4" t="s">
        <v>10</v>
      </c>
      <c r="C74" s="4">
        <v>12.5</v>
      </c>
      <c r="D74" s="4">
        <v>8.6</v>
      </c>
      <c r="E74" s="4">
        <v>10.5</v>
      </c>
      <c r="F74" s="4">
        <v>9.1999999999999993</v>
      </c>
      <c r="G74" s="4">
        <v>0.254</v>
      </c>
      <c r="H74" s="4" t="s">
        <v>11</v>
      </c>
      <c r="I74" s="4">
        <v>23.2</v>
      </c>
      <c r="J74" s="4">
        <v>2</v>
      </c>
      <c r="K74" s="5">
        <f t="shared" si="1"/>
        <v>6.4516</v>
      </c>
    </row>
    <row r="75" spans="1:11" x14ac:dyDescent="0.2">
      <c r="A75" s="3">
        <v>45157</v>
      </c>
      <c r="B75" s="4" t="s">
        <v>10</v>
      </c>
      <c r="C75" s="4">
        <v>21.9</v>
      </c>
      <c r="D75" s="4">
        <v>15.4</v>
      </c>
      <c r="E75" s="4">
        <v>18.7</v>
      </c>
      <c r="F75" s="4">
        <v>18.7</v>
      </c>
      <c r="G75" s="4">
        <v>0.254</v>
      </c>
      <c r="H75" s="4" t="s">
        <v>11</v>
      </c>
      <c r="I75" s="4">
        <v>20.5</v>
      </c>
      <c r="J75" s="4">
        <v>10</v>
      </c>
      <c r="K75" s="5">
        <f t="shared" si="1"/>
        <v>6.4516</v>
      </c>
    </row>
    <row r="76" spans="1:11" x14ac:dyDescent="0.2">
      <c r="A76" s="3">
        <v>44809</v>
      </c>
      <c r="B76" s="4" t="s">
        <v>10</v>
      </c>
      <c r="C76" s="4">
        <v>23.1</v>
      </c>
      <c r="D76" s="4">
        <v>15.2</v>
      </c>
      <c r="E76" s="4">
        <v>19</v>
      </c>
      <c r="F76" s="4">
        <v>19</v>
      </c>
      <c r="G76" s="4">
        <v>0.252</v>
      </c>
      <c r="H76" s="4" t="s">
        <v>11</v>
      </c>
      <c r="I76" s="4">
        <v>13.8</v>
      </c>
      <c r="J76" s="4">
        <v>7</v>
      </c>
      <c r="K76" s="5">
        <f t="shared" si="1"/>
        <v>6.4007999999999994</v>
      </c>
    </row>
    <row r="77" spans="1:11" x14ac:dyDescent="0.2">
      <c r="A77" s="3">
        <v>44816</v>
      </c>
      <c r="B77" s="4" t="s">
        <v>10</v>
      </c>
      <c r="C77" s="4">
        <v>19.600000000000001</v>
      </c>
      <c r="D77" s="4">
        <v>12.6</v>
      </c>
      <c r="E77" s="4">
        <v>16.7</v>
      </c>
      <c r="F77" s="4">
        <v>16.7</v>
      </c>
      <c r="G77" s="4">
        <v>0.251</v>
      </c>
      <c r="H77" s="4" t="s">
        <v>11</v>
      </c>
      <c r="I77" s="4">
        <v>12.8</v>
      </c>
      <c r="J77" s="4">
        <v>3</v>
      </c>
      <c r="K77" s="5">
        <f t="shared" si="1"/>
        <v>6.3754</v>
      </c>
    </row>
    <row r="78" spans="1:11" x14ac:dyDescent="0.2">
      <c r="A78" s="3">
        <v>45054</v>
      </c>
      <c r="B78" s="4" t="s">
        <v>10</v>
      </c>
      <c r="C78" s="4">
        <v>14.2</v>
      </c>
      <c r="D78" s="4">
        <v>10.1</v>
      </c>
      <c r="E78" s="4">
        <v>12.4</v>
      </c>
      <c r="F78" s="4">
        <v>12.4</v>
      </c>
      <c r="G78" s="4">
        <v>0.249</v>
      </c>
      <c r="H78" s="4" t="s">
        <v>11</v>
      </c>
      <c r="I78" s="4">
        <v>12.1</v>
      </c>
      <c r="J78" s="4">
        <v>2</v>
      </c>
      <c r="K78" s="5">
        <f t="shared" si="1"/>
        <v>6.3245999999999993</v>
      </c>
    </row>
    <row r="79" spans="1:11" x14ac:dyDescent="0.2">
      <c r="A79" s="3">
        <v>44885</v>
      </c>
      <c r="B79" s="4" t="s">
        <v>10</v>
      </c>
      <c r="C79" s="4">
        <v>8.9</v>
      </c>
      <c r="D79" s="4">
        <v>2.2000000000000002</v>
      </c>
      <c r="E79" s="4">
        <v>5.4</v>
      </c>
      <c r="F79" s="4">
        <v>2.6</v>
      </c>
      <c r="G79" s="4">
        <v>0.24299999999999999</v>
      </c>
      <c r="H79" s="4" t="s">
        <v>11</v>
      </c>
      <c r="I79" s="4">
        <v>13.9</v>
      </c>
      <c r="J79" s="4">
        <v>2</v>
      </c>
      <c r="K79" s="5">
        <f t="shared" si="1"/>
        <v>6.1721999999999992</v>
      </c>
    </row>
    <row r="80" spans="1:11" x14ac:dyDescent="0.2">
      <c r="A80" s="3">
        <v>45272</v>
      </c>
      <c r="B80" s="4" t="s">
        <v>10</v>
      </c>
      <c r="C80" s="4">
        <v>7.2</v>
      </c>
      <c r="D80" s="4">
        <v>2</v>
      </c>
      <c r="E80" s="4">
        <v>6</v>
      </c>
      <c r="F80" s="4">
        <v>3.8</v>
      </c>
      <c r="G80" s="4">
        <v>0.24099999999999999</v>
      </c>
      <c r="H80" s="4" t="s">
        <v>11</v>
      </c>
      <c r="I80" s="4">
        <v>11.9</v>
      </c>
      <c r="J80" s="4">
        <v>0</v>
      </c>
      <c r="K80" s="5">
        <f t="shared" si="1"/>
        <v>6.1213999999999995</v>
      </c>
    </row>
    <row r="81" spans="1:11" x14ac:dyDescent="0.2">
      <c r="A81" s="3">
        <v>45201</v>
      </c>
      <c r="B81" s="4" t="s">
        <v>10</v>
      </c>
      <c r="C81" s="4">
        <v>14.8</v>
      </c>
      <c r="D81" s="4">
        <v>10.4</v>
      </c>
      <c r="E81" s="4">
        <v>12.8</v>
      </c>
      <c r="F81" s="4">
        <v>12.8</v>
      </c>
      <c r="G81" s="4">
        <v>0.24</v>
      </c>
      <c r="H81" s="4" t="s">
        <v>11</v>
      </c>
      <c r="I81" s="4">
        <v>7.3</v>
      </c>
      <c r="J81" s="4">
        <v>2</v>
      </c>
      <c r="K81" s="5">
        <f t="shared" si="1"/>
        <v>6.0959999999999992</v>
      </c>
    </row>
    <row r="82" spans="1:11" x14ac:dyDescent="0.2">
      <c r="A82" s="3">
        <v>44608</v>
      </c>
      <c r="B82" s="4" t="s">
        <v>10</v>
      </c>
      <c r="C82" s="4">
        <v>12.2</v>
      </c>
      <c r="D82" s="4">
        <v>5.3</v>
      </c>
      <c r="E82" s="4">
        <v>9.8000000000000007</v>
      </c>
      <c r="F82" s="4">
        <v>8.1999999999999993</v>
      </c>
      <c r="G82" s="4">
        <v>0.23799999999999999</v>
      </c>
      <c r="H82" s="4" t="s">
        <v>11</v>
      </c>
      <c r="I82" s="4">
        <v>28.5</v>
      </c>
      <c r="J82" s="4">
        <v>3</v>
      </c>
      <c r="K82" s="5">
        <f t="shared" si="1"/>
        <v>6.0451999999999995</v>
      </c>
    </row>
    <row r="83" spans="1:11" x14ac:dyDescent="0.2">
      <c r="A83" s="3">
        <v>45102</v>
      </c>
      <c r="B83" s="4" t="s">
        <v>10</v>
      </c>
      <c r="C83" s="4">
        <v>26.9</v>
      </c>
      <c r="D83" s="4">
        <v>15.1</v>
      </c>
      <c r="E83" s="4">
        <v>20.3</v>
      </c>
      <c r="F83" s="4">
        <v>20.3</v>
      </c>
      <c r="G83" s="4">
        <v>0.23699999999999999</v>
      </c>
      <c r="H83" s="4" t="s">
        <v>11</v>
      </c>
      <c r="I83" s="4">
        <v>16</v>
      </c>
      <c r="J83" s="4">
        <v>7</v>
      </c>
      <c r="K83" s="5">
        <f t="shared" si="1"/>
        <v>6.0197999999999992</v>
      </c>
    </row>
    <row r="84" spans="1:11" x14ac:dyDescent="0.2">
      <c r="A84" s="3">
        <v>44940</v>
      </c>
      <c r="B84" s="4" t="s">
        <v>10</v>
      </c>
      <c r="C84" s="4">
        <v>8.3000000000000007</v>
      </c>
      <c r="D84" s="4">
        <v>4.3</v>
      </c>
      <c r="E84" s="4">
        <v>5.9</v>
      </c>
      <c r="F84" s="4">
        <v>1.4</v>
      </c>
      <c r="G84" s="4">
        <v>0.23599999999999999</v>
      </c>
      <c r="H84" s="4" t="s">
        <v>11</v>
      </c>
      <c r="I84" s="4">
        <v>25.9</v>
      </c>
      <c r="J84" s="4">
        <v>2</v>
      </c>
      <c r="K84" s="5">
        <f t="shared" si="1"/>
        <v>5.9943999999999997</v>
      </c>
    </row>
    <row r="85" spans="1:11" x14ac:dyDescent="0.2">
      <c r="A85" s="3">
        <v>45223</v>
      </c>
      <c r="B85" s="4" t="s">
        <v>10</v>
      </c>
      <c r="C85" s="4">
        <v>10.4</v>
      </c>
      <c r="D85" s="4">
        <v>7.6</v>
      </c>
      <c r="E85" s="4">
        <v>9.6</v>
      </c>
      <c r="F85" s="4">
        <v>8.6999999999999993</v>
      </c>
      <c r="G85" s="4">
        <v>0.23599999999999999</v>
      </c>
      <c r="H85" s="4" t="s">
        <v>11</v>
      </c>
      <c r="I85" s="4">
        <v>8.6</v>
      </c>
      <c r="J85" s="4">
        <v>1</v>
      </c>
      <c r="K85" s="5">
        <f t="shared" si="1"/>
        <v>5.9943999999999997</v>
      </c>
    </row>
    <row r="86" spans="1:11" x14ac:dyDescent="0.2">
      <c r="A86" s="3">
        <v>45265</v>
      </c>
      <c r="B86" s="4" t="s">
        <v>10</v>
      </c>
      <c r="C86" s="4">
        <v>5.3</v>
      </c>
      <c r="D86" s="4">
        <v>0.8</v>
      </c>
      <c r="E86" s="4">
        <v>4</v>
      </c>
      <c r="F86" s="4">
        <v>0.7</v>
      </c>
      <c r="G86" s="4">
        <v>0.23499999999999999</v>
      </c>
      <c r="H86" s="4" t="s">
        <v>12</v>
      </c>
      <c r="I86" s="4">
        <v>12.3</v>
      </c>
      <c r="J86" s="4">
        <v>2</v>
      </c>
      <c r="K86" s="5">
        <f t="shared" si="1"/>
        <v>5.9689999999999994</v>
      </c>
    </row>
    <row r="87" spans="1:11" x14ac:dyDescent="0.2">
      <c r="A87" s="3">
        <v>44611</v>
      </c>
      <c r="B87" s="4" t="s">
        <v>10</v>
      </c>
      <c r="C87" s="4">
        <v>3.9</v>
      </c>
      <c r="D87" s="4">
        <v>-0.3</v>
      </c>
      <c r="E87" s="4">
        <v>2.2000000000000002</v>
      </c>
      <c r="F87" s="4">
        <v>-1.4</v>
      </c>
      <c r="G87" s="4">
        <v>0.23400000000000001</v>
      </c>
      <c r="H87" s="4" t="s">
        <v>12</v>
      </c>
      <c r="I87" s="4">
        <v>19.100000000000001</v>
      </c>
      <c r="J87" s="4">
        <v>1</v>
      </c>
      <c r="K87" s="5">
        <f t="shared" si="1"/>
        <v>5.9436</v>
      </c>
    </row>
    <row r="88" spans="1:11" x14ac:dyDescent="0.2">
      <c r="A88" s="3">
        <v>45270</v>
      </c>
      <c r="B88" s="4" t="s">
        <v>10</v>
      </c>
      <c r="C88" s="4">
        <v>8.4</v>
      </c>
      <c r="D88" s="4">
        <v>6</v>
      </c>
      <c r="E88" s="4">
        <v>7.1</v>
      </c>
      <c r="F88" s="4">
        <v>3.8</v>
      </c>
      <c r="G88" s="4">
        <v>0.23400000000000001</v>
      </c>
      <c r="H88" s="4" t="s">
        <v>11</v>
      </c>
      <c r="I88" s="4">
        <v>22.7</v>
      </c>
      <c r="J88" s="4">
        <v>0</v>
      </c>
      <c r="K88" s="5">
        <f t="shared" si="1"/>
        <v>5.9436</v>
      </c>
    </row>
    <row r="89" spans="1:11" x14ac:dyDescent="0.2">
      <c r="A89" s="3">
        <v>44712</v>
      </c>
      <c r="B89" s="4" t="s">
        <v>10</v>
      </c>
      <c r="C89" s="4">
        <v>12.2</v>
      </c>
      <c r="D89" s="4">
        <v>7.6</v>
      </c>
      <c r="E89" s="4">
        <v>9.6</v>
      </c>
      <c r="F89" s="4">
        <v>9.4</v>
      </c>
      <c r="G89" s="4">
        <v>0.23400000000000001</v>
      </c>
      <c r="H89" s="4" t="s">
        <v>11</v>
      </c>
      <c r="I89" s="4">
        <v>10</v>
      </c>
      <c r="J89" s="4">
        <v>6</v>
      </c>
      <c r="K89" s="5">
        <f t="shared" si="1"/>
        <v>5.9436</v>
      </c>
    </row>
    <row r="90" spans="1:11" x14ac:dyDescent="0.2">
      <c r="A90" s="3">
        <v>45021</v>
      </c>
      <c r="B90" s="4" t="s">
        <v>10</v>
      </c>
      <c r="C90" s="4">
        <v>9.3000000000000007</v>
      </c>
      <c r="D90" s="4">
        <v>4.5</v>
      </c>
      <c r="E90" s="4">
        <v>7.2</v>
      </c>
      <c r="F90" s="4">
        <v>4.8</v>
      </c>
      <c r="G90" s="4">
        <v>0.22800000000000001</v>
      </c>
      <c r="H90" s="4" t="s">
        <v>11</v>
      </c>
      <c r="I90" s="4">
        <v>10.5</v>
      </c>
      <c r="J90" s="4">
        <v>1</v>
      </c>
      <c r="K90" s="5">
        <f t="shared" si="1"/>
        <v>5.7911999999999999</v>
      </c>
    </row>
    <row r="91" spans="1:11" x14ac:dyDescent="0.2">
      <c r="A91" s="3">
        <v>44923</v>
      </c>
      <c r="B91" s="4" t="s">
        <v>10</v>
      </c>
      <c r="C91" s="4">
        <v>9.9</v>
      </c>
      <c r="D91" s="4">
        <v>5.2</v>
      </c>
      <c r="E91" s="4">
        <v>7.5</v>
      </c>
      <c r="F91" s="4">
        <v>3.8</v>
      </c>
      <c r="G91" s="4">
        <v>0.22500000000000001</v>
      </c>
      <c r="H91" s="4" t="s">
        <v>11</v>
      </c>
      <c r="I91" s="4">
        <v>24.9</v>
      </c>
      <c r="J91" s="4">
        <v>0</v>
      </c>
      <c r="K91" s="5">
        <f t="shared" si="1"/>
        <v>5.7149999999999999</v>
      </c>
    </row>
    <row r="92" spans="1:11" x14ac:dyDescent="0.2">
      <c r="A92" s="3">
        <v>44849</v>
      </c>
      <c r="B92" s="4" t="s">
        <v>10</v>
      </c>
      <c r="C92" s="4">
        <v>13</v>
      </c>
      <c r="D92" s="4">
        <v>5.8</v>
      </c>
      <c r="E92" s="4">
        <v>9.8000000000000007</v>
      </c>
      <c r="F92" s="4">
        <v>8.4</v>
      </c>
      <c r="G92" s="4">
        <v>0.219</v>
      </c>
      <c r="H92" s="4" t="s">
        <v>11</v>
      </c>
      <c r="I92" s="4">
        <v>21.8</v>
      </c>
      <c r="J92" s="4">
        <v>5</v>
      </c>
      <c r="K92" s="5">
        <f t="shared" si="1"/>
        <v>5.5625999999999998</v>
      </c>
    </row>
    <row r="93" spans="1:11" x14ac:dyDescent="0.2">
      <c r="A93" s="3">
        <v>45245</v>
      </c>
      <c r="B93" s="4" t="s">
        <v>10</v>
      </c>
      <c r="C93" s="4">
        <v>11.4</v>
      </c>
      <c r="D93" s="4">
        <v>6.5</v>
      </c>
      <c r="E93" s="4">
        <v>8.6999999999999993</v>
      </c>
      <c r="F93" s="4">
        <v>6.4</v>
      </c>
      <c r="G93" s="4">
        <v>0.215</v>
      </c>
      <c r="H93" s="4" t="s">
        <v>11</v>
      </c>
      <c r="I93" s="4">
        <v>17.2</v>
      </c>
      <c r="J93" s="4">
        <v>3</v>
      </c>
      <c r="K93" s="5">
        <f t="shared" si="1"/>
        <v>5.4609999999999994</v>
      </c>
    </row>
    <row r="94" spans="1:11" x14ac:dyDescent="0.2">
      <c r="A94" s="3">
        <v>44811</v>
      </c>
      <c r="B94" s="4" t="s">
        <v>10</v>
      </c>
      <c r="C94" s="4">
        <v>21.1</v>
      </c>
      <c r="D94" s="4">
        <v>13.2</v>
      </c>
      <c r="E94" s="4">
        <v>16.3</v>
      </c>
      <c r="F94" s="4">
        <v>16.3</v>
      </c>
      <c r="G94" s="4">
        <v>0.21199999999999999</v>
      </c>
      <c r="H94" s="4" t="s">
        <v>11</v>
      </c>
      <c r="I94" s="4">
        <v>11.4</v>
      </c>
      <c r="J94" s="4">
        <v>7</v>
      </c>
      <c r="K94" s="5">
        <f t="shared" si="1"/>
        <v>5.3847999999999994</v>
      </c>
    </row>
    <row r="95" spans="1:11" x14ac:dyDescent="0.2">
      <c r="A95" s="3">
        <v>45115</v>
      </c>
      <c r="B95" s="4" t="s">
        <v>10</v>
      </c>
      <c r="C95" s="4">
        <v>23.3</v>
      </c>
      <c r="D95" s="4">
        <v>13.9</v>
      </c>
      <c r="E95" s="4">
        <v>18.7</v>
      </c>
      <c r="F95" s="4">
        <v>18.7</v>
      </c>
      <c r="G95" s="4">
        <v>0.21</v>
      </c>
      <c r="H95" s="4" t="s">
        <v>11</v>
      </c>
      <c r="I95" s="4">
        <v>12.6</v>
      </c>
      <c r="J95" s="4">
        <v>6</v>
      </c>
      <c r="K95" s="5">
        <f t="shared" si="1"/>
        <v>5.3339999999999996</v>
      </c>
    </row>
    <row r="96" spans="1:11" x14ac:dyDescent="0.2">
      <c r="A96" s="3">
        <v>45199</v>
      </c>
      <c r="B96" s="4" t="s">
        <v>10</v>
      </c>
      <c r="C96" s="4">
        <v>14.4</v>
      </c>
      <c r="D96" s="4">
        <v>9</v>
      </c>
      <c r="E96" s="4">
        <v>11.9</v>
      </c>
      <c r="F96" s="4">
        <v>11.8</v>
      </c>
      <c r="G96" s="4">
        <v>0.20899999999999999</v>
      </c>
      <c r="H96" s="4" t="s">
        <v>11</v>
      </c>
      <c r="I96" s="4">
        <v>13</v>
      </c>
      <c r="J96" s="4">
        <v>3</v>
      </c>
      <c r="K96" s="5">
        <f t="shared" si="1"/>
        <v>5.3085999999999993</v>
      </c>
    </row>
    <row r="97" spans="1:11" x14ac:dyDescent="0.2">
      <c r="A97" s="3">
        <v>44889</v>
      </c>
      <c r="B97" s="4" t="s">
        <v>10</v>
      </c>
      <c r="C97" s="4">
        <v>8.8000000000000007</v>
      </c>
      <c r="D97" s="4">
        <v>4.7</v>
      </c>
      <c r="E97" s="4">
        <v>6.2</v>
      </c>
      <c r="F97" s="4">
        <v>2.5</v>
      </c>
      <c r="G97" s="4">
        <v>0.20699999999999999</v>
      </c>
      <c r="H97" s="4" t="s">
        <v>11</v>
      </c>
      <c r="I97" s="4">
        <v>17.100000000000001</v>
      </c>
      <c r="J97" s="4">
        <v>1</v>
      </c>
      <c r="K97" s="5">
        <f t="shared" si="1"/>
        <v>5.2577999999999996</v>
      </c>
    </row>
    <row r="98" spans="1:11" x14ac:dyDescent="0.2">
      <c r="A98" s="3">
        <v>44807</v>
      </c>
      <c r="B98" s="4" t="s">
        <v>10</v>
      </c>
      <c r="C98" s="4">
        <v>20.9</v>
      </c>
      <c r="D98" s="4">
        <v>14.1</v>
      </c>
      <c r="E98" s="4">
        <v>17.5</v>
      </c>
      <c r="F98" s="4">
        <v>17.5</v>
      </c>
      <c r="G98" s="4">
        <v>0.2</v>
      </c>
      <c r="H98" s="4" t="s">
        <v>11</v>
      </c>
      <c r="I98" s="4">
        <v>12</v>
      </c>
      <c r="J98" s="4">
        <v>4</v>
      </c>
      <c r="K98" s="5">
        <f t="shared" si="1"/>
        <v>5.08</v>
      </c>
    </row>
    <row r="99" spans="1:11" x14ac:dyDescent="0.2">
      <c r="A99" s="3">
        <v>45096</v>
      </c>
      <c r="B99" s="4" t="s">
        <v>10</v>
      </c>
      <c r="C99" s="4">
        <v>21.8</v>
      </c>
      <c r="D99" s="4">
        <v>14.2</v>
      </c>
      <c r="E99" s="4">
        <v>18.2</v>
      </c>
      <c r="F99" s="4">
        <v>18.2</v>
      </c>
      <c r="G99" s="4">
        <v>0.2</v>
      </c>
      <c r="H99" s="4" t="s">
        <v>11</v>
      </c>
      <c r="I99" s="4">
        <v>13.4</v>
      </c>
      <c r="J99" s="4">
        <v>7</v>
      </c>
      <c r="K99" s="5">
        <f t="shared" si="1"/>
        <v>5.08</v>
      </c>
    </row>
    <row r="100" spans="1:11" x14ac:dyDescent="0.2">
      <c r="A100" s="3">
        <v>45178</v>
      </c>
      <c r="B100" s="4" t="s">
        <v>10</v>
      </c>
      <c r="C100" s="4">
        <v>27.8</v>
      </c>
      <c r="D100" s="4">
        <v>16.3</v>
      </c>
      <c r="E100" s="4">
        <v>21.6</v>
      </c>
      <c r="F100" s="4">
        <v>21.7</v>
      </c>
      <c r="G100" s="4">
        <v>0.193</v>
      </c>
      <c r="H100" s="4" t="s">
        <v>11</v>
      </c>
      <c r="I100" s="4">
        <v>7.2</v>
      </c>
      <c r="J100" s="4">
        <v>7</v>
      </c>
      <c r="K100" s="5">
        <f t="shared" si="1"/>
        <v>4.9021999999999997</v>
      </c>
    </row>
    <row r="101" spans="1:11" x14ac:dyDescent="0.2">
      <c r="A101" s="3">
        <v>44685</v>
      </c>
      <c r="B101" s="4" t="s">
        <v>10</v>
      </c>
      <c r="C101" s="4">
        <v>14.9</v>
      </c>
      <c r="D101" s="4">
        <v>8</v>
      </c>
      <c r="E101" s="4">
        <v>11.2</v>
      </c>
      <c r="F101" s="4">
        <v>10.3</v>
      </c>
      <c r="G101" s="4">
        <v>0.192</v>
      </c>
      <c r="H101" s="4" t="s">
        <v>11</v>
      </c>
      <c r="I101" s="4">
        <v>13.6</v>
      </c>
      <c r="J101" s="4">
        <v>4</v>
      </c>
      <c r="K101" s="5">
        <f t="shared" si="1"/>
        <v>4.8768000000000002</v>
      </c>
    </row>
    <row r="102" spans="1:11" x14ac:dyDescent="0.2">
      <c r="A102" s="3">
        <v>44914</v>
      </c>
      <c r="B102" s="4" t="s">
        <v>10</v>
      </c>
      <c r="C102" s="4">
        <v>13.1</v>
      </c>
      <c r="D102" s="4">
        <v>4.0999999999999996</v>
      </c>
      <c r="E102" s="4">
        <v>10.199999999999999</v>
      </c>
      <c r="F102" s="4">
        <v>9.1</v>
      </c>
      <c r="G102" s="4">
        <v>0.191</v>
      </c>
      <c r="H102" s="4" t="s">
        <v>11</v>
      </c>
      <c r="I102" s="4">
        <v>22.7</v>
      </c>
      <c r="J102" s="4">
        <v>0</v>
      </c>
      <c r="K102" s="5">
        <f t="shared" si="1"/>
        <v>4.8513999999999999</v>
      </c>
    </row>
    <row r="103" spans="1:11" x14ac:dyDescent="0.2">
      <c r="A103" s="3">
        <v>44922</v>
      </c>
      <c r="B103" s="4" t="s">
        <v>10</v>
      </c>
      <c r="C103" s="4">
        <v>8.4</v>
      </c>
      <c r="D103" s="4">
        <v>0.4</v>
      </c>
      <c r="E103" s="4">
        <v>4.4000000000000004</v>
      </c>
      <c r="F103" s="4">
        <v>0.4</v>
      </c>
      <c r="G103" s="4">
        <v>0.19</v>
      </c>
      <c r="H103" s="4" t="s">
        <v>12</v>
      </c>
      <c r="I103" s="4">
        <v>23</v>
      </c>
      <c r="J103" s="4">
        <v>1</v>
      </c>
      <c r="K103" s="5">
        <f t="shared" si="1"/>
        <v>4.8259999999999996</v>
      </c>
    </row>
    <row r="104" spans="1:11" x14ac:dyDescent="0.2">
      <c r="A104" s="3">
        <v>44637</v>
      </c>
      <c r="B104" s="4" t="s">
        <v>10</v>
      </c>
      <c r="C104" s="4">
        <v>11.7</v>
      </c>
      <c r="D104" s="4">
        <v>1.3</v>
      </c>
      <c r="E104" s="4">
        <v>6.9</v>
      </c>
      <c r="F104" s="4">
        <v>4.8</v>
      </c>
      <c r="G104" s="4">
        <v>0.189</v>
      </c>
      <c r="H104" s="4" t="s">
        <v>11</v>
      </c>
      <c r="I104" s="4">
        <v>20.7</v>
      </c>
      <c r="J104" s="4">
        <v>5</v>
      </c>
      <c r="K104" s="5">
        <f t="shared" si="1"/>
        <v>4.8006000000000002</v>
      </c>
    </row>
    <row r="105" spans="1:11" x14ac:dyDescent="0.2">
      <c r="A105" s="3">
        <v>44929</v>
      </c>
      <c r="B105" s="4" t="s">
        <v>10</v>
      </c>
      <c r="C105" s="4">
        <v>11.5</v>
      </c>
      <c r="D105" s="4">
        <v>-1.8</v>
      </c>
      <c r="E105" s="4">
        <v>4.9000000000000004</v>
      </c>
      <c r="F105" s="4">
        <v>1.7</v>
      </c>
      <c r="G105" s="4">
        <v>0.183</v>
      </c>
      <c r="H105" s="4" t="s">
        <v>12</v>
      </c>
      <c r="I105" s="4">
        <v>18</v>
      </c>
      <c r="J105" s="4">
        <v>1</v>
      </c>
      <c r="K105" s="5">
        <f t="shared" si="1"/>
        <v>4.6481999999999992</v>
      </c>
    </row>
    <row r="106" spans="1:11" x14ac:dyDescent="0.2">
      <c r="A106" s="3">
        <v>45131</v>
      </c>
      <c r="B106" s="4" t="s">
        <v>10</v>
      </c>
      <c r="C106" s="4">
        <v>15.8</v>
      </c>
      <c r="D106" s="4">
        <v>10.8</v>
      </c>
      <c r="E106" s="4">
        <v>13.3</v>
      </c>
      <c r="F106" s="4">
        <v>13.3</v>
      </c>
      <c r="G106" s="4">
        <v>0.18</v>
      </c>
      <c r="H106" s="4" t="s">
        <v>11</v>
      </c>
      <c r="I106" s="4">
        <v>13.8</v>
      </c>
      <c r="J106" s="4">
        <v>9</v>
      </c>
      <c r="K106" s="5">
        <f t="shared" si="1"/>
        <v>4.5719999999999992</v>
      </c>
    </row>
    <row r="107" spans="1:11" x14ac:dyDescent="0.2">
      <c r="A107" s="3">
        <v>45234</v>
      </c>
      <c r="B107" s="4" t="s">
        <v>10</v>
      </c>
      <c r="C107" s="4">
        <v>8.1</v>
      </c>
      <c r="D107" s="4">
        <v>5.0999999999999996</v>
      </c>
      <c r="E107" s="4">
        <v>6.9</v>
      </c>
      <c r="F107" s="4">
        <v>4.5</v>
      </c>
      <c r="G107" s="4">
        <v>0.17899999999999999</v>
      </c>
      <c r="H107" s="4" t="s">
        <v>11</v>
      </c>
      <c r="I107" s="4">
        <v>12.4</v>
      </c>
      <c r="J107" s="4">
        <v>1</v>
      </c>
      <c r="K107" s="5">
        <f t="shared" si="1"/>
        <v>4.5465999999999998</v>
      </c>
    </row>
    <row r="108" spans="1:11" x14ac:dyDescent="0.2">
      <c r="A108" s="3">
        <v>44994</v>
      </c>
      <c r="B108" s="4" t="s">
        <v>10</v>
      </c>
      <c r="C108" s="4">
        <v>1.7</v>
      </c>
      <c r="D108" s="4">
        <v>-0.9</v>
      </c>
      <c r="E108" s="4">
        <v>0.7</v>
      </c>
      <c r="F108" s="4">
        <v>-3.5</v>
      </c>
      <c r="G108" s="4">
        <v>0.17799999999999999</v>
      </c>
      <c r="H108" s="4" t="s">
        <v>12</v>
      </c>
      <c r="I108" s="4">
        <v>16.3</v>
      </c>
      <c r="J108" s="4">
        <v>1</v>
      </c>
      <c r="K108" s="5">
        <f t="shared" si="1"/>
        <v>4.5211999999999994</v>
      </c>
    </row>
    <row r="109" spans="1:11" x14ac:dyDescent="0.2">
      <c r="A109" s="3">
        <v>44565</v>
      </c>
      <c r="B109" s="4" t="s">
        <v>10</v>
      </c>
      <c r="C109" s="4">
        <v>2.7</v>
      </c>
      <c r="D109" s="4">
        <v>-0.8</v>
      </c>
      <c r="E109" s="4">
        <v>1.1000000000000001</v>
      </c>
      <c r="F109" s="4">
        <v>-3.3</v>
      </c>
      <c r="G109" s="4">
        <v>0.17599999999999999</v>
      </c>
      <c r="H109" s="4" t="s">
        <v>12</v>
      </c>
      <c r="I109" s="4">
        <v>18.2</v>
      </c>
      <c r="J109" s="4">
        <v>2</v>
      </c>
      <c r="K109" s="5">
        <f t="shared" si="1"/>
        <v>4.4703999999999997</v>
      </c>
    </row>
    <row r="110" spans="1:11" x14ac:dyDescent="0.2">
      <c r="A110" s="3">
        <v>44636</v>
      </c>
      <c r="B110" s="4" t="s">
        <v>10</v>
      </c>
      <c r="C110" s="4">
        <v>10.1</v>
      </c>
      <c r="D110" s="4">
        <v>5.2</v>
      </c>
      <c r="E110" s="4">
        <v>7.4</v>
      </c>
      <c r="F110" s="4">
        <v>5.2</v>
      </c>
      <c r="G110" s="4">
        <v>0.17599999999999999</v>
      </c>
      <c r="H110" s="4" t="s">
        <v>11</v>
      </c>
      <c r="I110" s="4">
        <v>13</v>
      </c>
      <c r="J110" s="4">
        <v>1</v>
      </c>
      <c r="K110" s="5">
        <f t="shared" si="1"/>
        <v>4.4703999999999997</v>
      </c>
    </row>
    <row r="111" spans="1:11" x14ac:dyDescent="0.2">
      <c r="A111" s="3">
        <v>45138</v>
      </c>
      <c r="B111" s="4" t="s">
        <v>10</v>
      </c>
      <c r="C111" s="4">
        <v>17.600000000000001</v>
      </c>
      <c r="D111" s="4">
        <v>13.9</v>
      </c>
      <c r="E111" s="4">
        <v>15.6</v>
      </c>
      <c r="F111" s="4">
        <v>15.6</v>
      </c>
      <c r="G111" s="4">
        <v>0.17499999999999999</v>
      </c>
      <c r="H111" s="4" t="s">
        <v>11</v>
      </c>
      <c r="I111" s="4">
        <v>15.2</v>
      </c>
      <c r="J111" s="4">
        <v>4</v>
      </c>
      <c r="K111" s="5">
        <f t="shared" si="1"/>
        <v>4.4449999999999994</v>
      </c>
    </row>
    <row r="112" spans="1:11" x14ac:dyDescent="0.2">
      <c r="A112" s="3">
        <v>45026</v>
      </c>
      <c r="B112" s="4" t="s">
        <v>10</v>
      </c>
      <c r="C112" s="4">
        <v>12.5</v>
      </c>
      <c r="D112" s="4">
        <v>6.8</v>
      </c>
      <c r="E112" s="4">
        <v>9.3000000000000007</v>
      </c>
      <c r="F112" s="4">
        <v>6.8</v>
      </c>
      <c r="G112" s="4">
        <v>0.17100000000000001</v>
      </c>
      <c r="H112" s="4" t="s">
        <v>11</v>
      </c>
      <c r="I112" s="4">
        <v>15.7</v>
      </c>
      <c r="J112" s="4">
        <v>5</v>
      </c>
      <c r="K112" s="5">
        <f t="shared" si="1"/>
        <v>4.3433999999999999</v>
      </c>
    </row>
    <row r="113" spans="1:11" x14ac:dyDescent="0.2">
      <c r="A113" s="3">
        <v>44832</v>
      </c>
      <c r="B113" s="4" t="s">
        <v>10</v>
      </c>
      <c r="C113" s="4">
        <v>13.4</v>
      </c>
      <c r="D113" s="4">
        <v>5.8</v>
      </c>
      <c r="E113" s="4">
        <v>9.4</v>
      </c>
      <c r="F113" s="4">
        <v>8</v>
      </c>
      <c r="G113" s="4">
        <v>0.16900000000000001</v>
      </c>
      <c r="H113" s="4" t="s">
        <v>11</v>
      </c>
      <c r="I113" s="4">
        <v>12.5</v>
      </c>
      <c r="J113" s="4">
        <v>5</v>
      </c>
      <c r="K113" s="5">
        <f t="shared" si="1"/>
        <v>4.2926000000000002</v>
      </c>
    </row>
    <row r="114" spans="1:11" x14ac:dyDescent="0.2">
      <c r="A114" s="3">
        <v>44663</v>
      </c>
      <c r="B114" s="4" t="s">
        <v>10</v>
      </c>
      <c r="C114" s="4">
        <v>11.3</v>
      </c>
      <c r="D114" s="4">
        <v>6.5</v>
      </c>
      <c r="E114" s="4">
        <v>8.6999999999999993</v>
      </c>
      <c r="F114" s="4">
        <v>7.4</v>
      </c>
      <c r="G114" s="4">
        <v>0.16700000000000001</v>
      </c>
      <c r="H114" s="4" t="s">
        <v>11</v>
      </c>
      <c r="I114" s="4">
        <v>9.5</v>
      </c>
      <c r="J114" s="4">
        <v>3</v>
      </c>
      <c r="K114" s="5">
        <f t="shared" si="1"/>
        <v>4.2417999999999996</v>
      </c>
    </row>
    <row r="115" spans="1:11" x14ac:dyDescent="0.2">
      <c r="A115" s="3">
        <v>44938</v>
      </c>
      <c r="B115" s="4" t="s">
        <v>10</v>
      </c>
      <c r="C115" s="4">
        <v>9.9</v>
      </c>
      <c r="D115" s="4">
        <v>4.3</v>
      </c>
      <c r="E115" s="4">
        <v>7.1</v>
      </c>
      <c r="F115" s="4">
        <v>3.3</v>
      </c>
      <c r="G115" s="4">
        <v>0.16600000000000001</v>
      </c>
      <c r="H115" s="4" t="s">
        <v>11</v>
      </c>
      <c r="I115" s="4">
        <v>32.4</v>
      </c>
      <c r="J115" s="4">
        <v>1</v>
      </c>
      <c r="K115" s="5">
        <f t="shared" si="1"/>
        <v>4.2164000000000001</v>
      </c>
    </row>
    <row r="116" spans="1:11" x14ac:dyDescent="0.2">
      <c r="A116" s="3">
        <v>44742</v>
      </c>
      <c r="B116" s="4" t="s">
        <v>10</v>
      </c>
      <c r="C116" s="4">
        <v>18.600000000000001</v>
      </c>
      <c r="D116" s="4">
        <v>12.6</v>
      </c>
      <c r="E116" s="4">
        <v>15.3</v>
      </c>
      <c r="F116" s="4">
        <v>15.3</v>
      </c>
      <c r="G116" s="4">
        <v>0.16500000000000001</v>
      </c>
      <c r="H116" s="4" t="s">
        <v>11</v>
      </c>
      <c r="I116" s="4">
        <v>8.3000000000000007</v>
      </c>
      <c r="J116" s="4">
        <v>5</v>
      </c>
      <c r="K116" s="5">
        <f t="shared" si="1"/>
        <v>4.1909999999999998</v>
      </c>
    </row>
    <row r="117" spans="1:11" x14ac:dyDescent="0.2">
      <c r="A117" s="3">
        <v>44620</v>
      </c>
      <c r="B117" s="4" t="s">
        <v>10</v>
      </c>
      <c r="C117" s="4">
        <v>9.4</v>
      </c>
      <c r="D117" s="4">
        <v>3.2</v>
      </c>
      <c r="E117" s="4">
        <v>6.2</v>
      </c>
      <c r="F117" s="4">
        <v>3.1</v>
      </c>
      <c r="G117" s="4">
        <v>0.16400000000000001</v>
      </c>
      <c r="H117" s="4" t="s">
        <v>11</v>
      </c>
      <c r="I117" s="4">
        <v>15.2</v>
      </c>
      <c r="J117" s="4">
        <v>2</v>
      </c>
      <c r="K117" s="5">
        <f t="shared" si="1"/>
        <v>4.1655999999999995</v>
      </c>
    </row>
    <row r="118" spans="1:11" x14ac:dyDescent="0.2">
      <c r="A118" s="3">
        <v>45229</v>
      </c>
      <c r="B118" s="4" t="s">
        <v>10</v>
      </c>
      <c r="C118" s="4">
        <v>9.1999999999999993</v>
      </c>
      <c r="D118" s="4">
        <v>7.4</v>
      </c>
      <c r="E118" s="4">
        <v>8.1999999999999993</v>
      </c>
      <c r="F118" s="4">
        <v>6.5</v>
      </c>
      <c r="G118" s="4">
        <v>0.16300000000000001</v>
      </c>
      <c r="H118" s="4" t="s">
        <v>11</v>
      </c>
      <c r="I118" s="4">
        <v>7.8</v>
      </c>
      <c r="J118" s="4">
        <v>1</v>
      </c>
      <c r="K118" s="5">
        <f t="shared" si="1"/>
        <v>4.1402000000000001</v>
      </c>
    </row>
    <row r="119" spans="1:11" x14ac:dyDescent="0.2">
      <c r="A119" s="3">
        <v>44995</v>
      </c>
      <c r="B119" s="4" t="s">
        <v>10</v>
      </c>
      <c r="C119" s="4">
        <v>3.6</v>
      </c>
      <c r="D119" s="4">
        <v>-2.8</v>
      </c>
      <c r="E119" s="4">
        <v>0.7</v>
      </c>
      <c r="F119" s="4">
        <v>-3.8</v>
      </c>
      <c r="G119" s="4">
        <v>0.16200000000000001</v>
      </c>
      <c r="H119" s="4" t="s">
        <v>12</v>
      </c>
      <c r="I119" s="4">
        <v>19.5</v>
      </c>
      <c r="J119" s="4">
        <v>6</v>
      </c>
      <c r="K119" s="5">
        <f t="shared" si="1"/>
        <v>4.1147999999999998</v>
      </c>
    </row>
    <row r="120" spans="1:11" x14ac:dyDescent="0.2">
      <c r="A120" s="3">
        <v>44568</v>
      </c>
      <c r="B120" s="4" t="s">
        <v>10</v>
      </c>
      <c r="C120" s="4">
        <v>3.7</v>
      </c>
      <c r="D120" s="4">
        <v>-0.8</v>
      </c>
      <c r="E120" s="4">
        <v>1.8</v>
      </c>
      <c r="F120" s="4">
        <v>-2.4</v>
      </c>
      <c r="G120" s="4">
        <v>0.161</v>
      </c>
      <c r="H120" s="4" t="s">
        <v>12</v>
      </c>
      <c r="I120" s="4">
        <v>14.7</v>
      </c>
      <c r="J120" s="4">
        <v>1</v>
      </c>
      <c r="K120" s="5">
        <f t="shared" si="1"/>
        <v>4.0893999999999995</v>
      </c>
    </row>
    <row r="121" spans="1:11" x14ac:dyDescent="0.2">
      <c r="A121" s="3">
        <v>45226</v>
      </c>
      <c r="B121" s="4" t="s">
        <v>10</v>
      </c>
      <c r="C121" s="4">
        <v>11</v>
      </c>
      <c r="D121" s="4">
        <v>7.1</v>
      </c>
      <c r="E121" s="4">
        <v>9.1999999999999993</v>
      </c>
      <c r="F121" s="4">
        <v>8.6999999999999993</v>
      </c>
      <c r="G121" s="4">
        <v>0.161</v>
      </c>
      <c r="H121" s="4" t="s">
        <v>11</v>
      </c>
      <c r="I121" s="4">
        <v>6.8</v>
      </c>
      <c r="J121" s="4">
        <v>1</v>
      </c>
      <c r="K121" s="5">
        <f t="shared" si="1"/>
        <v>4.0893999999999995</v>
      </c>
    </row>
    <row r="122" spans="1:11" x14ac:dyDescent="0.2">
      <c r="A122" s="3">
        <v>44899</v>
      </c>
      <c r="B122" s="4" t="s">
        <v>10</v>
      </c>
      <c r="C122" s="4">
        <v>5.9</v>
      </c>
      <c r="D122" s="4">
        <v>2.6</v>
      </c>
      <c r="E122" s="4">
        <v>4.5999999999999996</v>
      </c>
      <c r="F122" s="4">
        <v>1.3</v>
      </c>
      <c r="G122" s="4">
        <v>0.16</v>
      </c>
      <c r="H122" s="4" t="s">
        <v>11</v>
      </c>
      <c r="I122" s="4">
        <v>11.4</v>
      </c>
      <c r="J122" s="4">
        <v>1</v>
      </c>
      <c r="K122" s="5">
        <f t="shared" si="1"/>
        <v>4.0640000000000001</v>
      </c>
    </row>
    <row r="123" spans="1:11" x14ac:dyDescent="0.2">
      <c r="A123" s="3">
        <v>44766</v>
      </c>
      <c r="B123" s="4" t="s">
        <v>10</v>
      </c>
      <c r="C123" s="4">
        <v>22.6</v>
      </c>
      <c r="D123" s="4">
        <v>17.2</v>
      </c>
      <c r="E123" s="4">
        <v>19.2</v>
      </c>
      <c r="F123" s="4">
        <v>19.2</v>
      </c>
      <c r="G123" s="4">
        <v>0.159</v>
      </c>
      <c r="H123" s="4" t="s">
        <v>11</v>
      </c>
      <c r="I123" s="4">
        <v>17.3</v>
      </c>
      <c r="J123" s="4">
        <v>6</v>
      </c>
      <c r="K123" s="5">
        <f t="shared" si="1"/>
        <v>4.0385999999999997</v>
      </c>
    </row>
    <row r="124" spans="1:11" x14ac:dyDescent="0.2">
      <c r="A124" s="3">
        <v>44921</v>
      </c>
      <c r="B124" s="4" t="s">
        <v>10</v>
      </c>
      <c r="C124" s="4">
        <v>7.1</v>
      </c>
      <c r="D124" s="4">
        <v>0.2</v>
      </c>
      <c r="E124" s="4">
        <v>3.5</v>
      </c>
      <c r="F124" s="4">
        <v>-0.9</v>
      </c>
      <c r="G124" s="4">
        <v>0.158</v>
      </c>
      <c r="H124" s="4" t="s">
        <v>12</v>
      </c>
      <c r="I124" s="4">
        <v>18.8</v>
      </c>
      <c r="J124" s="4">
        <v>2</v>
      </c>
      <c r="K124" s="5">
        <f t="shared" si="1"/>
        <v>4.0131999999999994</v>
      </c>
    </row>
    <row r="125" spans="1:11" x14ac:dyDescent="0.2">
      <c r="A125" s="3">
        <v>44867</v>
      </c>
      <c r="B125" s="4" t="s">
        <v>10</v>
      </c>
      <c r="C125" s="4">
        <v>12.1</v>
      </c>
      <c r="D125" s="4">
        <v>6.2</v>
      </c>
      <c r="E125" s="4">
        <v>9.3000000000000007</v>
      </c>
      <c r="F125" s="4">
        <v>7.8</v>
      </c>
      <c r="G125" s="4">
        <v>0.158</v>
      </c>
      <c r="H125" s="4" t="s">
        <v>11</v>
      </c>
      <c r="I125" s="4">
        <v>25.2</v>
      </c>
      <c r="J125" s="4">
        <v>2</v>
      </c>
      <c r="K125" s="5">
        <f t="shared" si="1"/>
        <v>4.0131999999999994</v>
      </c>
    </row>
    <row r="126" spans="1:11" x14ac:dyDescent="0.2">
      <c r="A126" s="3">
        <v>44892</v>
      </c>
      <c r="B126" s="4" t="s">
        <v>10</v>
      </c>
      <c r="C126" s="4">
        <v>10.7</v>
      </c>
      <c r="D126" s="4">
        <v>5.2</v>
      </c>
      <c r="E126" s="4">
        <v>8.8000000000000007</v>
      </c>
      <c r="F126" s="4">
        <v>7.4</v>
      </c>
      <c r="G126" s="4">
        <v>0.156</v>
      </c>
      <c r="H126" s="4" t="s">
        <v>11</v>
      </c>
      <c r="I126" s="4">
        <v>17</v>
      </c>
      <c r="J126" s="4">
        <v>1</v>
      </c>
      <c r="K126" s="5">
        <f t="shared" si="1"/>
        <v>3.9623999999999997</v>
      </c>
    </row>
    <row r="127" spans="1:11" x14ac:dyDescent="0.2">
      <c r="A127" s="3">
        <v>44813</v>
      </c>
      <c r="B127" s="4" t="s">
        <v>10</v>
      </c>
      <c r="C127" s="4">
        <v>19.3</v>
      </c>
      <c r="D127" s="4">
        <v>13.2</v>
      </c>
      <c r="E127" s="4">
        <v>15.6</v>
      </c>
      <c r="F127" s="4">
        <v>15.6</v>
      </c>
      <c r="G127" s="4">
        <v>0.155</v>
      </c>
      <c r="H127" s="4" t="s">
        <v>11</v>
      </c>
      <c r="I127" s="4">
        <v>12.1</v>
      </c>
      <c r="J127" s="4">
        <v>5</v>
      </c>
      <c r="K127" s="5">
        <f t="shared" si="1"/>
        <v>3.9369999999999998</v>
      </c>
    </row>
    <row r="128" spans="1:11" x14ac:dyDescent="0.2">
      <c r="A128" s="3">
        <v>45179</v>
      </c>
      <c r="B128" s="4" t="s">
        <v>10</v>
      </c>
      <c r="C128" s="4">
        <v>23.8</v>
      </c>
      <c r="D128" s="4">
        <v>15.9</v>
      </c>
      <c r="E128" s="4">
        <v>19.600000000000001</v>
      </c>
      <c r="F128" s="4">
        <v>19.600000000000001</v>
      </c>
      <c r="G128" s="4">
        <v>0.154</v>
      </c>
      <c r="H128" s="4" t="s">
        <v>11</v>
      </c>
      <c r="I128" s="4">
        <v>7.5</v>
      </c>
      <c r="J128" s="4">
        <v>8</v>
      </c>
      <c r="K128" s="5">
        <f t="shared" si="1"/>
        <v>3.9115999999999995</v>
      </c>
    </row>
    <row r="129" spans="1:11" x14ac:dyDescent="0.2">
      <c r="A129" s="3">
        <v>44741</v>
      </c>
      <c r="B129" s="4" t="s">
        <v>10</v>
      </c>
      <c r="C129" s="4">
        <v>20.2</v>
      </c>
      <c r="D129" s="4">
        <v>12.4</v>
      </c>
      <c r="E129" s="4">
        <v>15.7</v>
      </c>
      <c r="F129" s="4">
        <v>15.7</v>
      </c>
      <c r="G129" s="4">
        <v>0.153</v>
      </c>
      <c r="H129" s="4" t="s">
        <v>11</v>
      </c>
      <c r="I129" s="4">
        <v>14.4</v>
      </c>
      <c r="J129" s="4">
        <v>5</v>
      </c>
      <c r="K129" s="5">
        <f t="shared" si="1"/>
        <v>3.8861999999999997</v>
      </c>
    </row>
    <row r="130" spans="1:11" x14ac:dyDescent="0.2">
      <c r="A130" s="3">
        <v>45220</v>
      </c>
      <c r="B130" s="4" t="s">
        <v>10</v>
      </c>
      <c r="C130" s="4">
        <v>10.4</v>
      </c>
      <c r="D130" s="4">
        <v>5</v>
      </c>
      <c r="E130" s="4">
        <v>8.6</v>
      </c>
      <c r="F130" s="4">
        <v>6.7</v>
      </c>
      <c r="G130" s="4">
        <v>0.152</v>
      </c>
      <c r="H130" s="4" t="s">
        <v>11</v>
      </c>
      <c r="I130" s="4">
        <v>17.100000000000001</v>
      </c>
      <c r="J130" s="4">
        <v>3</v>
      </c>
      <c r="K130" s="5">
        <f t="shared" ref="K130:K193" si="2">SUM(G130*25.4)</f>
        <v>3.8607999999999998</v>
      </c>
    </row>
    <row r="131" spans="1:11" x14ac:dyDescent="0.2">
      <c r="A131" s="3">
        <v>44597</v>
      </c>
      <c r="B131" s="4" t="s">
        <v>10</v>
      </c>
      <c r="C131" s="4">
        <v>8.4</v>
      </c>
      <c r="D131" s="4">
        <v>2.4</v>
      </c>
      <c r="E131" s="4">
        <v>5.7</v>
      </c>
      <c r="F131" s="4">
        <v>1.2</v>
      </c>
      <c r="G131" s="4">
        <v>0.14799999999999999</v>
      </c>
      <c r="H131" s="4" t="s">
        <v>11</v>
      </c>
      <c r="I131" s="4">
        <v>28.2</v>
      </c>
      <c r="J131" s="4">
        <v>1</v>
      </c>
      <c r="K131" s="5">
        <f t="shared" si="2"/>
        <v>3.7591999999999994</v>
      </c>
    </row>
    <row r="132" spans="1:11" x14ac:dyDescent="0.2">
      <c r="A132" s="3">
        <v>44986</v>
      </c>
      <c r="B132" s="4" t="s">
        <v>10</v>
      </c>
      <c r="C132" s="4">
        <v>7</v>
      </c>
      <c r="D132" s="4">
        <v>4.2</v>
      </c>
      <c r="E132" s="4">
        <v>5.3</v>
      </c>
      <c r="F132" s="4">
        <v>1.6</v>
      </c>
      <c r="G132" s="4">
        <v>0.14699999999999999</v>
      </c>
      <c r="H132" s="4" t="s">
        <v>11</v>
      </c>
      <c r="I132" s="4">
        <v>15.8</v>
      </c>
      <c r="J132" s="4">
        <v>3</v>
      </c>
      <c r="K132" s="5">
        <f t="shared" si="2"/>
        <v>3.7337999999999996</v>
      </c>
    </row>
    <row r="133" spans="1:11" x14ac:dyDescent="0.2">
      <c r="A133" s="3">
        <v>44841</v>
      </c>
      <c r="B133" s="4" t="s">
        <v>10</v>
      </c>
      <c r="C133" s="4">
        <v>14.6</v>
      </c>
      <c r="D133" s="4">
        <v>8.6</v>
      </c>
      <c r="E133" s="4">
        <v>12.6</v>
      </c>
      <c r="F133" s="4">
        <v>12.3</v>
      </c>
      <c r="G133" s="4">
        <v>0.14499999999999999</v>
      </c>
      <c r="H133" s="4" t="s">
        <v>11</v>
      </c>
      <c r="I133" s="4">
        <v>21.4</v>
      </c>
      <c r="J133" s="4">
        <v>4</v>
      </c>
      <c r="K133" s="5">
        <f t="shared" si="2"/>
        <v>3.6829999999999994</v>
      </c>
    </row>
    <row r="134" spans="1:11" x14ac:dyDescent="0.2">
      <c r="A134" s="3">
        <v>45016</v>
      </c>
      <c r="B134" s="4" t="s">
        <v>10</v>
      </c>
      <c r="C134" s="4">
        <v>9.4</v>
      </c>
      <c r="D134" s="4">
        <v>6.6</v>
      </c>
      <c r="E134" s="4">
        <v>8.6</v>
      </c>
      <c r="F134" s="4">
        <v>5.7</v>
      </c>
      <c r="G134" s="4">
        <v>0.14399999999999999</v>
      </c>
      <c r="H134" s="4" t="s">
        <v>11</v>
      </c>
      <c r="I134" s="4">
        <v>14.5</v>
      </c>
      <c r="J134" s="4">
        <v>2</v>
      </c>
      <c r="K134" s="5">
        <f t="shared" si="2"/>
        <v>3.6575999999999995</v>
      </c>
    </row>
    <row r="135" spans="1:11" x14ac:dyDescent="0.2">
      <c r="A135" s="3">
        <v>44743</v>
      </c>
      <c r="B135" s="4" t="s">
        <v>10</v>
      </c>
      <c r="C135" s="4">
        <v>16.7</v>
      </c>
      <c r="D135" s="4">
        <v>10.7</v>
      </c>
      <c r="E135" s="4">
        <v>14.1</v>
      </c>
      <c r="F135" s="4">
        <v>14.1</v>
      </c>
      <c r="G135" s="4">
        <v>0.14399999999999999</v>
      </c>
      <c r="H135" s="4" t="s">
        <v>11</v>
      </c>
      <c r="I135" s="4">
        <v>11.4</v>
      </c>
      <c r="J135" s="4">
        <v>6</v>
      </c>
      <c r="K135" s="5">
        <f t="shared" si="2"/>
        <v>3.6575999999999995</v>
      </c>
    </row>
    <row r="136" spans="1:11" x14ac:dyDescent="0.2">
      <c r="A136" s="3">
        <v>45123</v>
      </c>
      <c r="B136" s="4" t="s">
        <v>10</v>
      </c>
      <c r="C136" s="4">
        <v>18.600000000000001</v>
      </c>
      <c r="D136" s="4">
        <v>13.2</v>
      </c>
      <c r="E136" s="4">
        <v>15.6</v>
      </c>
      <c r="F136" s="4">
        <v>15.6</v>
      </c>
      <c r="G136" s="4">
        <v>0.14199999999999999</v>
      </c>
      <c r="H136" s="4" t="s">
        <v>11</v>
      </c>
      <c r="I136" s="4">
        <v>20.8</v>
      </c>
      <c r="J136" s="4">
        <v>10</v>
      </c>
      <c r="K136" s="5">
        <f t="shared" si="2"/>
        <v>3.6067999999999993</v>
      </c>
    </row>
    <row r="137" spans="1:11" x14ac:dyDescent="0.2">
      <c r="A137" s="3">
        <v>45006</v>
      </c>
      <c r="B137" s="4" t="s">
        <v>10</v>
      </c>
      <c r="C137" s="4">
        <v>14</v>
      </c>
      <c r="D137" s="4">
        <v>8.6</v>
      </c>
      <c r="E137" s="4">
        <v>10.7</v>
      </c>
      <c r="F137" s="4">
        <v>9.6</v>
      </c>
      <c r="G137" s="4">
        <v>0.14099999999999999</v>
      </c>
      <c r="H137" s="4" t="s">
        <v>11</v>
      </c>
      <c r="I137" s="4">
        <v>17.600000000000001</v>
      </c>
      <c r="J137" s="4">
        <v>5</v>
      </c>
      <c r="K137" s="5">
        <f t="shared" si="2"/>
        <v>3.5813999999999995</v>
      </c>
    </row>
    <row r="138" spans="1:11" x14ac:dyDescent="0.2">
      <c r="A138" s="3">
        <v>45271</v>
      </c>
      <c r="B138" s="4" t="s">
        <v>10</v>
      </c>
      <c r="C138" s="4">
        <v>7.3</v>
      </c>
      <c r="D138" s="4">
        <v>1.2</v>
      </c>
      <c r="E138" s="4">
        <v>5.0999999999999996</v>
      </c>
      <c r="F138" s="4">
        <v>2.5</v>
      </c>
      <c r="G138" s="4">
        <v>0.13900000000000001</v>
      </c>
      <c r="H138" s="4" t="s">
        <v>12</v>
      </c>
      <c r="I138" s="4">
        <v>15.2</v>
      </c>
      <c r="J138" s="4">
        <v>2</v>
      </c>
      <c r="K138" s="5">
        <f t="shared" si="2"/>
        <v>3.5306000000000002</v>
      </c>
    </row>
    <row r="139" spans="1:11" x14ac:dyDescent="0.2">
      <c r="A139" s="3">
        <v>45125</v>
      </c>
      <c r="B139" s="4" t="s">
        <v>10</v>
      </c>
      <c r="C139" s="4">
        <v>17.399999999999999</v>
      </c>
      <c r="D139" s="4">
        <v>11.2</v>
      </c>
      <c r="E139" s="4">
        <v>13.9</v>
      </c>
      <c r="F139" s="4">
        <v>13.9</v>
      </c>
      <c r="G139" s="4">
        <v>0.13900000000000001</v>
      </c>
      <c r="H139" s="4" t="s">
        <v>11</v>
      </c>
      <c r="I139" s="4">
        <v>10.6</v>
      </c>
      <c r="J139" s="4">
        <v>5</v>
      </c>
      <c r="K139" s="5">
        <f t="shared" si="2"/>
        <v>3.5306000000000002</v>
      </c>
    </row>
    <row r="140" spans="1:11" x14ac:dyDescent="0.2">
      <c r="A140" s="3">
        <v>45008</v>
      </c>
      <c r="B140" s="4" t="s">
        <v>10</v>
      </c>
      <c r="C140" s="4">
        <v>11.3</v>
      </c>
      <c r="D140" s="4">
        <v>5.6</v>
      </c>
      <c r="E140" s="4">
        <v>8.8000000000000007</v>
      </c>
      <c r="F140" s="4">
        <v>6.6</v>
      </c>
      <c r="G140" s="4">
        <v>0.13800000000000001</v>
      </c>
      <c r="H140" s="4" t="s">
        <v>11</v>
      </c>
      <c r="I140" s="4">
        <v>19.600000000000001</v>
      </c>
      <c r="J140" s="4">
        <v>4</v>
      </c>
      <c r="K140" s="5">
        <f t="shared" si="2"/>
        <v>3.5052000000000003</v>
      </c>
    </row>
    <row r="141" spans="1:11" x14ac:dyDescent="0.2">
      <c r="A141" s="3">
        <v>45044</v>
      </c>
      <c r="B141" s="4" t="s">
        <v>10</v>
      </c>
      <c r="C141" s="4">
        <v>11.6</v>
      </c>
      <c r="D141" s="4">
        <v>6.7</v>
      </c>
      <c r="E141" s="4">
        <v>8.4</v>
      </c>
      <c r="F141" s="4">
        <v>6.9</v>
      </c>
      <c r="G141" s="4">
        <v>0.13700000000000001</v>
      </c>
      <c r="H141" s="4" t="s">
        <v>11</v>
      </c>
      <c r="I141" s="4">
        <v>10.8</v>
      </c>
      <c r="J141" s="4">
        <v>4</v>
      </c>
      <c r="K141" s="5">
        <f t="shared" si="2"/>
        <v>3.4798</v>
      </c>
    </row>
    <row r="142" spans="1:11" x14ac:dyDescent="0.2">
      <c r="A142" s="3">
        <v>45126</v>
      </c>
      <c r="B142" s="4" t="s">
        <v>10</v>
      </c>
      <c r="C142" s="4">
        <v>17.399999999999999</v>
      </c>
      <c r="D142" s="4">
        <v>12.4</v>
      </c>
      <c r="E142" s="4">
        <v>14.6</v>
      </c>
      <c r="F142" s="4">
        <v>14.6</v>
      </c>
      <c r="G142" s="4">
        <v>0.13500000000000001</v>
      </c>
      <c r="H142" s="4" t="s">
        <v>11</v>
      </c>
      <c r="I142" s="4">
        <v>8</v>
      </c>
      <c r="J142" s="4">
        <v>8</v>
      </c>
      <c r="K142" s="5">
        <f t="shared" si="2"/>
        <v>3.4289999999999998</v>
      </c>
    </row>
    <row r="143" spans="1:11" x14ac:dyDescent="0.2">
      <c r="A143" s="3">
        <v>44606</v>
      </c>
      <c r="B143" s="4" t="s">
        <v>10</v>
      </c>
      <c r="C143" s="4">
        <v>6.8</v>
      </c>
      <c r="D143" s="4">
        <v>4.5</v>
      </c>
      <c r="E143" s="4">
        <v>5.8</v>
      </c>
      <c r="F143" s="4">
        <v>2.4</v>
      </c>
      <c r="G143" s="4">
        <v>0.13300000000000001</v>
      </c>
      <c r="H143" s="4" t="s">
        <v>11</v>
      </c>
      <c r="I143" s="4">
        <v>14.8</v>
      </c>
      <c r="J143" s="4">
        <v>1</v>
      </c>
      <c r="K143" s="5">
        <f t="shared" si="2"/>
        <v>3.3782000000000001</v>
      </c>
    </row>
    <row r="144" spans="1:11" x14ac:dyDescent="0.2">
      <c r="A144" s="3">
        <v>45037</v>
      </c>
      <c r="B144" s="4" t="s">
        <v>10</v>
      </c>
      <c r="C144" s="4">
        <v>10.9</v>
      </c>
      <c r="D144" s="4">
        <v>7</v>
      </c>
      <c r="E144" s="4">
        <v>8.6999999999999993</v>
      </c>
      <c r="F144" s="4">
        <v>6.5</v>
      </c>
      <c r="G144" s="4">
        <v>0.13200000000000001</v>
      </c>
      <c r="H144" s="4" t="s">
        <v>11</v>
      </c>
      <c r="I144" s="4">
        <v>16.600000000000001</v>
      </c>
      <c r="J144" s="4">
        <v>3</v>
      </c>
      <c r="K144" s="5">
        <f t="shared" si="2"/>
        <v>3.3527999999999998</v>
      </c>
    </row>
    <row r="145" spans="1:11" x14ac:dyDescent="0.2">
      <c r="A145" s="3">
        <v>45003</v>
      </c>
      <c r="B145" s="4" t="s">
        <v>10</v>
      </c>
      <c r="C145" s="4">
        <v>13.1</v>
      </c>
      <c r="D145" s="4">
        <v>7.4</v>
      </c>
      <c r="E145" s="4">
        <v>9.6999999999999993</v>
      </c>
      <c r="F145" s="4">
        <v>8.8000000000000007</v>
      </c>
      <c r="G145" s="4">
        <v>0.13200000000000001</v>
      </c>
      <c r="H145" s="4" t="s">
        <v>11</v>
      </c>
      <c r="I145" s="4">
        <v>10.1</v>
      </c>
      <c r="J145" s="4">
        <v>4</v>
      </c>
      <c r="K145" s="5">
        <f t="shared" si="2"/>
        <v>3.3527999999999998</v>
      </c>
    </row>
    <row r="146" spans="1:11" x14ac:dyDescent="0.2">
      <c r="A146" s="3">
        <v>44844</v>
      </c>
      <c r="B146" s="4" t="s">
        <v>10</v>
      </c>
      <c r="C146" s="4">
        <v>13.3</v>
      </c>
      <c r="D146" s="4">
        <v>5.9</v>
      </c>
      <c r="E146" s="4">
        <v>9.8000000000000007</v>
      </c>
      <c r="F146" s="4">
        <v>8.6</v>
      </c>
      <c r="G146" s="4">
        <v>0.13200000000000001</v>
      </c>
      <c r="H146" s="4" t="s">
        <v>11</v>
      </c>
      <c r="I146" s="4">
        <v>18.2</v>
      </c>
      <c r="J146" s="4">
        <v>5</v>
      </c>
      <c r="K146" s="5">
        <f t="shared" si="2"/>
        <v>3.3527999999999998</v>
      </c>
    </row>
    <row r="147" spans="1:11" x14ac:dyDescent="0.2">
      <c r="A147" s="3">
        <v>45184</v>
      </c>
      <c r="B147" s="4" t="s">
        <v>10</v>
      </c>
      <c r="C147" s="4">
        <v>18.100000000000001</v>
      </c>
      <c r="D147" s="4">
        <v>12.6</v>
      </c>
      <c r="E147" s="4">
        <v>14.9</v>
      </c>
      <c r="F147" s="4">
        <v>14.9</v>
      </c>
      <c r="G147" s="4">
        <v>0.13200000000000001</v>
      </c>
      <c r="H147" s="4" t="s">
        <v>11</v>
      </c>
      <c r="I147" s="4">
        <v>8.3000000000000007</v>
      </c>
      <c r="J147" s="4">
        <v>5</v>
      </c>
      <c r="K147" s="5">
        <f t="shared" si="2"/>
        <v>3.3527999999999998</v>
      </c>
    </row>
    <row r="148" spans="1:11" x14ac:dyDescent="0.2">
      <c r="A148" s="3">
        <v>44652</v>
      </c>
      <c r="B148" s="4" t="s">
        <v>10</v>
      </c>
      <c r="C148" s="4">
        <v>6</v>
      </c>
      <c r="D148" s="4">
        <v>0.3</v>
      </c>
      <c r="E148" s="4">
        <v>2.6</v>
      </c>
      <c r="F148" s="4">
        <v>-0.9</v>
      </c>
      <c r="G148" s="4">
        <v>0.13100000000000001</v>
      </c>
      <c r="H148" s="4" t="s">
        <v>12</v>
      </c>
      <c r="I148" s="4">
        <v>13.3</v>
      </c>
      <c r="J148" s="4">
        <v>7</v>
      </c>
      <c r="K148" s="5">
        <f t="shared" si="2"/>
        <v>3.3273999999999999</v>
      </c>
    </row>
    <row r="149" spans="1:11" x14ac:dyDescent="0.2">
      <c r="A149" s="3">
        <v>44621</v>
      </c>
      <c r="B149" s="4" t="s">
        <v>10</v>
      </c>
      <c r="C149" s="4">
        <v>8.1999999999999993</v>
      </c>
      <c r="D149" s="4">
        <v>-0.4</v>
      </c>
      <c r="E149" s="4">
        <v>3.8</v>
      </c>
      <c r="F149" s="4">
        <v>1.1000000000000001</v>
      </c>
      <c r="G149" s="4">
        <v>0.13100000000000001</v>
      </c>
      <c r="H149" s="4" t="s">
        <v>12</v>
      </c>
      <c r="I149" s="4">
        <v>10.199999999999999</v>
      </c>
      <c r="J149" s="4">
        <v>5</v>
      </c>
      <c r="K149" s="5">
        <f t="shared" si="2"/>
        <v>3.3273999999999999</v>
      </c>
    </row>
    <row r="150" spans="1:11" x14ac:dyDescent="0.2">
      <c r="A150" s="3">
        <v>44924</v>
      </c>
      <c r="B150" s="4" t="s">
        <v>10</v>
      </c>
      <c r="C150" s="4">
        <v>8.3000000000000007</v>
      </c>
      <c r="D150" s="4">
        <v>3.7</v>
      </c>
      <c r="E150" s="4">
        <v>6.4</v>
      </c>
      <c r="F150" s="4">
        <v>2</v>
      </c>
      <c r="G150" s="4">
        <v>0.13100000000000001</v>
      </c>
      <c r="H150" s="4" t="s">
        <v>11</v>
      </c>
      <c r="I150" s="4">
        <v>24.1</v>
      </c>
      <c r="J150" s="4">
        <v>1</v>
      </c>
      <c r="K150" s="5">
        <f t="shared" si="2"/>
        <v>3.3273999999999999</v>
      </c>
    </row>
    <row r="151" spans="1:11" x14ac:dyDescent="0.2">
      <c r="A151" s="3">
        <v>44616</v>
      </c>
      <c r="B151" s="4" t="s">
        <v>10</v>
      </c>
      <c r="C151" s="4">
        <v>5</v>
      </c>
      <c r="D151" s="4">
        <v>2.2000000000000002</v>
      </c>
      <c r="E151" s="4">
        <v>3.7</v>
      </c>
      <c r="F151" s="4">
        <v>-0.8</v>
      </c>
      <c r="G151" s="4">
        <v>0.13</v>
      </c>
      <c r="H151" s="4" t="s">
        <v>11</v>
      </c>
      <c r="I151" s="4">
        <v>20.9</v>
      </c>
      <c r="J151" s="4">
        <v>3</v>
      </c>
      <c r="K151" s="5">
        <f t="shared" si="2"/>
        <v>3.302</v>
      </c>
    </row>
    <row r="152" spans="1:11" x14ac:dyDescent="0.2">
      <c r="A152" s="3">
        <v>45242</v>
      </c>
      <c r="B152" s="4" t="s">
        <v>10</v>
      </c>
      <c r="C152" s="4">
        <v>7.2</v>
      </c>
      <c r="D152" s="4">
        <v>-0.1</v>
      </c>
      <c r="E152" s="4">
        <v>4.0999999999999996</v>
      </c>
      <c r="F152" s="4">
        <v>2</v>
      </c>
      <c r="G152" s="4">
        <v>0.13</v>
      </c>
      <c r="H152" s="4" t="s">
        <v>11</v>
      </c>
      <c r="I152" s="4">
        <v>12.3</v>
      </c>
      <c r="J152" s="4">
        <v>1</v>
      </c>
      <c r="K152" s="5">
        <f t="shared" si="2"/>
        <v>3.302</v>
      </c>
    </row>
    <row r="153" spans="1:11" x14ac:dyDescent="0.2">
      <c r="A153" s="3">
        <v>44884</v>
      </c>
      <c r="B153" s="4" t="s">
        <v>10</v>
      </c>
      <c r="C153" s="4">
        <v>8</v>
      </c>
      <c r="D153" s="4">
        <v>5.3</v>
      </c>
      <c r="E153" s="4">
        <v>6.9</v>
      </c>
      <c r="F153" s="4">
        <v>4.3</v>
      </c>
      <c r="G153" s="4">
        <v>0.13</v>
      </c>
      <c r="H153" s="4" t="s">
        <v>11</v>
      </c>
      <c r="I153" s="4">
        <v>12.7</v>
      </c>
      <c r="J153" s="4">
        <v>0</v>
      </c>
      <c r="K153" s="5">
        <f t="shared" si="2"/>
        <v>3.302</v>
      </c>
    </row>
    <row r="154" spans="1:11" x14ac:dyDescent="0.2">
      <c r="A154" s="3">
        <v>45200</v>
      </c>
      <c r="B154" s="4" t="s">
        <v>10</v>
      </c>
      <c r="C154" s="4">
        <v>18.7</v>
      </c>
      <c r="D154" s="4">
        <v>12.8</v>
      </c>
      <c r="E154" s="4">
        <v>16.100000000000001</v>
      </c>
      <c r="F154" s="4">
        <v>16.100000000000001</v>
      </c>
      <c r="G154" s="4">
        <v>0.13</v>
      </c>
      <c r="H154" s="4" t="s">
        <v>11</v>
      </c>
      <c r="I154" s="4">
        <v>12</v>
      </c>
      <c r="J154" s="4">
        <v>3</v>
      </c>
      <c r="K154" s="5">
        <f t="shared" si="2"/>
        <v>3.302</v>
      </c>
    </row>
    <row r="155" spans="1:11" x14ac:dyDescent="0.2">
      <c r="A155" s="3">
        <v>44767</v>
      </c>
      <c r="B155" s="4" t="s">
        <v>10</v>
      </c>
      <c r="C155" s="4">
        <v>21.2</v>
      </c>
      <c r="D155" s="4">
        <v>12.5</v>
      </c>
      <c r="E155" s="4">
        <v>16.600000000000001</v>
      </c>
      <c r="F155" s="4">
        <v>16.600000000000001</v>
      </c>
      <c r="G155" s="4">
        <v>0.13</v>
      </c>
      <c r="H155" s="4" t="s">
        <v>11</v>
      </c>
      <c r="I155" s="4">
        <v>18.600000000000001</v>
      </c>
      <c r="J155" s="4">
        <v>8</v>
      </c>
      <c r="K155" s="5">
        <f t="shared" si="2"/>
        <v>3.302</v>
      </c>
    </row>
    <row r="156" spans="1:11" x14ac:dyDescent="0.2">
      <c r="A156" s="3">
        <v>44883</v>
      </c>
      <c r="B156" s="4" t="s">
        <v>10</v>
      </c>
      <c r="C156" s="4">
        <v>9.9</v>
      </c>
      <c r="D156" s="4">
        <v>7.7</v>
      </c>
      <c r="E156" s="4">
        <v>8.8000000000000007</v>
      </c>
      <c r="F156" s="4">
        <v>6.4</v>
      </c>
      <c r="G156" s="4">
        <v>0.129</v>
      </c>
      <c r="H156" s="4" t="s">
        <v>11</v>
      </c>
      <c r="I156" s="4">
        <v>15.6</v>
      </c>
      <c r="J156" s="4">
        <v>2</v>
      </c>
      <c r="K156" s="5">
        <f t="shared" si="2"/>
        <v>3.2765999999999997</v>
      </c>
    </row>
    <row r="157" spans="1:11" x14ac:dyDescent="0.2">
      <c r="A157" s="3">
        <v>45057</v>
      </c>
      <c r="B157" s="4" t="s">
        <v>10</v>
      </c>
      <c r="C157" s="4">
        <v>13.4</v>
      </c>
      <c r="D157" s="4">
        <v>8.9</v>
      </c>
      <c r="E157" s="4">
        <v>11.3</v>
      </c>
      <c r="F157" s="4">
        <v>11</v>
      </c>
      <c r="G157" s="4">
        <v>0.127</v>
      </c>
      <c r="H157" s="4" t="s">
        <v>11</v>
      </c>
      <c r="I157" s="4">
        <v>7.6</v>
      </c>
      <c r="J157" s="4">
        <v>5</v>
      </c>
      <c r="K157" s="5">
        <f t="shared" si="2"/>
        <v>3.2258</v>
      </c>
    </row>
    <row r="158" spans="1:11" x14ac:dyDescent="0.2">
      <c r="A158" s="3">
        <v>45141</v>
      </c>
      <c r="B158" s="4" t="s">
        <v>10</v>
      </c>
      <c r="C158" s="4">
        <v>18.399999999999999</v>
      </c>
      <c r="D158" s="4">
        <v>12.1</v>
      </c>
      <c r="E158" s="4">
        <v>15.3</v>
      </c>
      <c r="F158" s="4">
        <v>15.3</v>
      </c>
      <c r="G158" s="4">
        <v>0.127</v>
      </c>
      <c r="H158" s="4" t="s">
        <v>11</v>
      </c>
      <c r="I158" s="4">
        <v>13.7</v>
      </c>
      <c r="J158" s="4">
        <v>7</v>
      </c>
      <c r="K158" s="5">
        <f t="shared" si="2"/>
        <v>3.2258</v>
      </c>
    </row>
    <row r="159" spans="1:11" x14ac:dyDescent="0.2">
      <c r="A159" s="3">
        <v>45289</v>
      </c>
      <c r="B159" s="4" t="s">
        <v>10</v>
      </c>
      <c r="C159" s="4">
        <v>7.4</v>
      </c>
      <c r="D159" s="4">
        <v>4.4000000000000004</v>
      </c>
      <c r="E159" s="4">
        <v>6.3</v>
      </c>
      <c r="F159" s="4">
        <v>1.7</v>
      </c>
      <c r="G159" s="4">
        <v>0.126</v>
      </c>
      <c r="H159" s="4" t="s">
        <v>11</v>
      </c>
      <c r="I159" s="4">
        <v>27.9</v>
      </c>
      <c r="J159" s="4">
        <v>2</v>
      </c>
      <c r="K159" s="5">
        <f t="shared" si="2"/>
        <v>3.2003999999999997</v>
      </c>
    </row>
    <row r="160" spans="1:11" x14ac:dyDescent="0.2">
      <c r="A160" s="3">
        <v>44655</v>
      </c>
      <c r="B160" s="4" t="s">
        <v>10</v>
      </c>
      <c r="C160" s="4">
        <v>13.3</v>
      </c>
      <c r="D160" s="4">
        <v>5.6</v>
      </c>
      <c r="E160" s="4">
        <v>10.5</v>
      </c>
      <c r="F160" s="4">
        <v>9.3000000000000007</v>
      </c>
      <c r="G160" s="4">
        <v>0.124</v>
      </c>
      <c r="H160" s="4" t="s">
        <v>11</v>
      </c>
      <c r="I160" s="4">
        <v>20.7</v>
      </c>
      <c r="J160" s="4">
        <v>2</v>
      </c>
      <c r="K160" s="5">
        <f t="shared" si="2"/>
        <v>3.1496</v>
      </c>
    </row>
    <row r="161" spans="1:11" x14ac:dyDescent="0.2">
      <c r="A161" s="3">
        <v>44650</v>
      </c>
      <c r="B161" s="4" t="s">
        <v>10</v>
      </c>
      <c r="C161" s="4">
        <v>6.3</v>
      </c>
      <c r="D161" s="4">
        <v>0.4</v>
      </c>
      <c r="E161" s="4">
        <v>3.5</v>
      </c>
      <c r="F161" s="4">
        <v>0.2</v>
      </c>
      <c r="G161" s="4">
        <v>0.123</v>
      </c>
      <c r="H161" s="4" t="s">
        <v>11</v>
      </c>
      <c r="I161" s="4">
        <v>13.9</v>
      </c>
      <c r="J161" s="4">
        <v>2</v>
      </c>
      <c r="K161" s="5">
        <f t="shared" si="2"/>
        <v>3.1241999999999996</v>
      </c>
    </row>
    <row r="162" spans="1:11" x14ac:dyDescent="0.2">
      <c r="A162" s="3">
        <v>44794</v>
      </c>
      <c r="B162" s="4" t="s">
        <v>10</v>
      </c>
      <c r="C162" s="4">
        <v>20</v>
      </c>
      <c r="D162" s="4">
        <v>12.1</v>
      </c>
      <c r="E162" s="4">
        <v>15.9</v>
      </c>
      <c r="F162" s="4">
        <v>15.9</v>
      </c>
      <c r="G162" s="4">
        <v>0.122</v>
      </c>
      <c r="H162" s="4" t="s">
        <v>11</v>
      </c>
      <c r="I162" s="4">
        <v>12.1</v>
      </c>
      <c r="J162" s="4">
        <v>8</v>
      </c>
      <c r="K162" s="5">
        <f t="shared" si="2"/>
        <v>3.0987999999999998</v>
      </c>
    </row>
    <row r="163" spans="1:11" x14ac:dyDescent="0.2">
      <c r="A163" s="3">
        <v>45164</v>
      </c>
      <c r="B163" s="4" t="s">
        <v>10</v>
      </c>
      <c r="C163" s="4">
        <v>17.100000000000001</v>
      </c>
      <c r="D163" s="4">
        <v>10.1</v>
      </c>
      <c r="E163" s="4">
        <v>13</v>
      </c>
      <c r="F163" s="4">
        <v>13</v>
      </c>
      <c r="G163" s="4">
        <v>0.121</v>
      </c>
      <c r="H163" s="4" t="s">
        <v>11</v>
      </c>
      <c r="I163" s="4">
        <v>8.5</v>
      </c>
      <c r="J163" s="4">
        <v>8</v>
      </c>
      <c r="K163" s="5">
        <f t="shared" si="2"/>
        <v>3.0733999999999999</v>
      </c>
    </row>
    <row r="164" spans="1:11" x14ac:dyDescent="0.2">
      <c r="A164" s="3">
        <v>45000</v>
      </c>
      <c r="B164" s="4" t="s">
        <v>10</v>
      </c>
      <c r="C164" s="4">
        <v>6.1</v>
      </c>
      <c r="D164" s="4">
        <v>-4.5999999999999996</v>
      </c>
      <c r="E164" s="4">
        <v>1.3</v>
      </c>
      <c r="F164" s="4">
        <v>-1.3</v>
      </c>
      <c r="G164" s="4">
        <v>0.12</v>
      </c>
      <c r="H164" s="4" t="s">
        <v>12</v>
      </c>
      <c r="I164" s="4">
        <v>14.4</v>
      </c>
      <c r="J164" s="4">
        <v>3</v>
      </c>
      <c r="K164" s="5">
        <f t="shared" si="2"/>
        <v>3.0479999999999996</v>
      </c>
    </row>
    <row r="165" spans="1:11" x14ac:dyDescent="0.2">
      <c r="A165" s="3">
        <v>44863</v>
      </c>
      <c r="B165" s="4" t="s">
        <v>10</v>
      </c>
      <c r="C165" s="4">
        <v>14.3</v>
      </c>
      <c r="D165" s="4">
        <v>8.6</v>
      </c>
      <c r="E165" s="4">
        <v>11.3</v>
      </c>
      <c r="F165" s="4">
        <v>10.8</v>
      </c>
      <c r="G165" s="4">
        <v>0.12</v>
      </c>
      <c r="H165" s="4" t="s">
        <v>11</v>
      </c>
      <c r="I165" s="4">
        <v>10.199999999999999</v>
      </c>
      <c r="J165" s="4">
        <v>0</v>
      </c>
      <c r="K165" s="5">
        <f t="shared" si="2"/>
        <v>3.0479999999999996</v>
      </c>
    </row>
    <row r="166" spans="1:11" x14ac:dyDescent="0.2">
      <c r="A166" s="3">
        <v>45249</v>
      </c>
      <c r="B166" s="4" t="s">
        <v>10</v>
      </c>
      <c r="C166" s="4">
        <v>11.4</v>
      </c>
      <c r="D166" s="4">
        <v>9.9</v>
      </c>
      <c r="E166" s="4">
        <v>10.8</v>
      </c>
      <c r="F166" s="4">
        <v>10.5</v>
      </c>
      <c r="G166" s="4">
        <v>0.11799999999999999</v>
      </c>
      <c r="H166" s="4" t="s">
        <v>11</v>
      </c>
      <c r="I166" s="4">
        <v>15</v>
      </c>
      <c r="J166" s="4">
        <v>1</v>
      </c>
      <c r="K166" s="5">
        <f t="shared" si="2"/>
        <v>2.9971999999999999</v>
      </c>
    </row>
    <row r="167" spans="1:11" x14ac:dyDescent="0.2">
      <c r="A167" s="3">
        <v>45053</v>
      </c>
      <c r="B167" s="4" t="s">
        <v>10</v>
      </c>
      <c r="C167" s="4">
        <v>19.100000000000001</v>
      </c>
      <c r="D167" s="4">
        <v>11.3</v>
      </c>
      <c r="E167" s="4">
        <v>14.2</v>
      </c>
      <c r="F167" s="4">
        <v>14.2</v>
      </c>
      <c r="G167" s="4">
        <v>0.11700000000000001</v>
      </c>
      <c r="H167" s="4" t="s">
        <v>11</v>
      </c>
      <c r="I167" s="4">
        <v>7.6</v>
      </c>
      <c r="J167" s="4">
        <v>8</v>
      </c>
      <c r="K167" s="5">
        <f t="shared" si="2"/>
        <v>2.9718</v>
      </c>
    </row>
    <row r="168" spans="1:11" x14ac:dyDescent="0.2">
      <c r="A168" s="3">
        <v>44701</v>
      </c>
      <c r="B168" s="4" t="s">
        <v>10</v>
      </c>
      <c r="C168" s="4">
        <v>15.7</v>
      </c>
      <c r="D168" s="4">
        <v>8</v>
      </c>
      <c r="E168" s="4">
        <v>11.8</v>
      </c>
      <c r="F168" s="4">
        <v>11.7</v>
      </c>
      <c r="G168" s="4">
        <v>0.11600000000000001</v>
      </c>
      <c r="H168" s="4" t="s">
        <v>11</v>
      </c>
      <c r="I168" s="4">
        <v>12</v>
      </c>
      <c r="J168" s="4">
        <v>5</v>
      </c>
      <c r="K168" s="5">
        <f t="shared" si="2"/>
        <v>2.9464000000000001</v>
      </c>
    </row>
    <row r="169" spans="1:11" x14ac:dyDescent="0.2">
      <c r="A169" s="3">
        <v>45124</v>
      </c>
      <c r="B169" s="4" t="s">
        <v>10</v>
      </c>
      <c r="C169" s="4">
        <v>18.100000000000001</v>
      </c>
      <c r="D169" s="4">
        <v>12</v>
      </c>
      <c r="E169" s="4">
        <v>14.9</v>
      </c>
      <c r="F169" s="4">
        <v>14.9</v>
      </c>
      <c r="G169" s="4">
        <v>0.115</v>
      </c>
      <c r="H169" s="4" t="s">
        <v>11</v>
      </c>
      <c r="I169" s="4">
        <v>14.6</v>
      </c>
      <c r="J169" s="4">
        <v>7</v>
      </c>
      <c r="K169" s="5">
        <f t="shared" si="2"/>
        <v>2.9209999999999998</v>
      </c>
    </row>
    <row r="170" spans="1:11" x14ac:dyDescent="0.2">
      <c r="A170" s="3">
        <v>44861</v>
      </c>
      <c r="B170" s="4" t="s">
        <v>10</v>
      </c>
      <c r="C170" s="4">
        <v>15.6</v>
      </c>
      <c r="D170" s="4">
        <v>10.9</v>
      </c>
      <c r="E170" s="4">
        <v>13.2</v>
      </c>
      <c r="F170" s="4">
        <v>13.2</v>
      </c>
      <c r="G170" s="4">
        <v>0.114</v>
      </c>
      <c r="H170" s="4" t="s">
        <v>11</v>
      </c>
      <c r="I170" s="4">
        <v>11.4</v>
      </c>
      <c r="J170" s="4">
        <v>2</v>
      </c>
      <c r="K170" s="5">
        <f t="shared" si="2"/>
        <v>2.8956</v>
      </c>
    </row>
    <row r="171" spans="1:11" x14ac:dyDescent="0.2">
      <c r="A171" s="3">
        <v>45205</v>
      </c>
      <c r="B171" s="4" t="s">
        <v>10</v>
      </c>
      <c r="C171" s="4">
        <v>18.600000000000001</v>
      </c>
      <c r="D171" s="4">
        <v>14.6</v>
      </c>
      <c r="E171" s="4">
        <v>16.899999999999999</v>
      </c>
      <c r="F171" s="4">
        <v>16.899999999999999</v>
      </c>
      <c r="G171" s="4">
        <v>0.114</v>
      </c>
      <c r="H171" s="4" t="s">
        <v>11</v>
      </c>
      <c r="I171" s="4">
        <v>22.9</v>
      </c>
      <c r="J171" s="4">
        <v>2</v>
      </c>
      <c r="K171" s="5">
        <f t="shared" si="2"/>
        <v>2.8956</v>
      </c>
    </row>
    <row r="172" spans="1:11" x14ac:dyDescent="0.2">
      <c r="A172" s="3">
        <v>44901</v>
      </c>
      <c r="B172" s="4" t="s">
        <v>10</v>
      </c>
      <c r="C172" s="4">
        <v>5.3</v>
      </c>
      <c r="D172" s="4">
        <v>1.7</v>
      </c>
      <c r="E172" s="4">
        <v>3.5</v>
      </c>
      <c r="F172" s="4">
        <v>0.1</v>
      </c>
      <c r="G172" s="4">
        <v>0.113</v>
      </c>
      <c r="H172" s="4" t="s">
        <v>12</v>
      </c>
      <c r="I172" s="4">
        <v>11.7</v>
      </c>
      <c r="J172" s="4">
        <v>2</v>
      </c>
      <c r="K172" s="5">
        <f t="shared" si="2"/>
        <v>2.8702000000000001</v>
      </c>
    </row>
    <row r="173" spans="1:11" x14ac:dyDescent="0.2">
      <c r="A173" s="3">
        <v>44830</v>
      </c>
      <c r="B173" s="4" t="s">
        <v>10</v>
      </c>
      <c r="C173" s="4">
        <v>12.5</v>
      </c>
      <c r="D173" s="4">
        <v>6.7</v>
      </c>
      <c r="E173" s="4">
        <v>10.6</v>
      </c>
      <c r="F173" s="4">
        <v>10</v>
      </c>
      <c r="G173" s="4">
        <v>0.113</v>
      </c>
      <c r="H173" s="4" t="s">
        <v>11</v>
      </c>
      <c r="I173" s="4">
        <v>17.3</v>
      </c>
      <c r="J173" s="4">
        <v>7</v>
      </c>
      <c r="K173" s="5">
        <f t="shared" si="2"/>
        <v>2.8702000000000001</v>
      </c>
    </row>
    <row r="174" spans="1:11" x14ac:dyDescent="0.2">
      <c r="A174" s="3">
        <v>45002</v>
      </c>
      <c r="B174" s="4" t="s">
        <v>10</v>
      </c>
      <c r="C174" s="4">
        <v>13.9</v>
      </c>
      <c r="D174" s="4">
        <v>6.8</v>
      </c>
      <c r="E174" s="4">
        <v>9.9</v>
      </c>
      <c r="F174" s="4">
        <v>8.8000000000000007</v>
      </c>
      <c r="G174" s="4">
        <v>0.112</v>
      </c>
      <c r="H174" s="4" t="s">
        <v>11</v>
      </c>
      <c r="I174" s="4">
        <v>12.5</v>
      </c>
      <c r="J174" s="4">
        <v>6</v>
      </c>
      <c r="K174" s="5">
        <f t="shared" si="2"/>
        <v>2.8447999999999998</v>
      </c>
    </row>
    <row r="175" spans="1:11" x14ac:dyDescent="0.2">
      <c r="A175" s="3">
        <v>44997</v>
      </c>
      <c r="B175" s="4" t="s">
        <v>10</v>
      </c>
      <c r="C175" s="4">
        <v>11.5</v>
      </c>
      <c r="D175" s="4">
        <v>1.2</v>
      </c>
      <c r="E175" s="4">
        <v>7.5</v>
      </c>
      <c r="F175" s="4">
        <v>5.0999999999999996</v>
      </c>
      <c r="G175" s="4">
        <v>0.111</v>
      </c>
      <c r="H175" s="4" t="s">
        <v>12</v>
      </c>
      <c r="I175" s="4">
        <v>16.2</v>
      </c>
      <c r="J175" s="4">
        <v>6</v>
      </c>
      <c r="K175" s="5">
        <f t="shared" si="2"/>
        <v>2.8193999999999999</v>
      </c>
    </row>
    <row r="176" spans="1:11" x14ac:dyDescent="0.2">
      <c r="A176" s="3">
        <v>44772</v>
      </c>
      <c r="B176" s="4" t="s">
        <v>10</v>
      </c>
      <c r="C176" s="4">
        <v>19.5</v>
      </c>
      <c r="D176" s="4">
        <v>14.4</v>
      </c>
      <c r="E176" s="4">
        <v>17</v>
      </c>
      <c r="F176" s="4">
        <v>17</v>
      </c>
      <c r="G176" s="4">
        <v>0.111</v>
      </c>
      <c r="H176" s="4" t="s">
        <v>11</v>
      </c>
      <c r="I176" s="4">
        <v>10.7</v>
      </c>
      <c r="J176" s="4">
        <v>3</v>
      </c>
      <c r="K176" s="5">
        <f t="shared" si="2"/>
        <v>2.8193999999999999</v>
      </c>
    </row>
    <row r="177" spans="1:11" x14ac:dyDescent="0.2">
      <c r="A177" s="3">
        <v>44826</v>
      </c>
      <c r="B177" s="4" t="s">
        <v>10</v>
      </c>
      <c r="C177" s="4">
        <v>16.8</v>
      </c>
      <c r="D177" s="4">
        <v>11.5</v>
      </c>
      <c r="E177" s="4">
        <v>13.8</v>
      </c>
      <c r="F177" s="4">
        <v>13.8</v>
      </c>
      <c r="G177" s="4">
        <v>0.11</v>
      </c>
      <c r="H177" s="4" t="s">
        <v>11</v>
      </c>
      <c r="I177" s="4">
        <v>15.8</v>
      </c>
      <c r="J177" s="4">
        <v>3</v>
      </c>
      <c r="K177" s="5">
        <f t="shared" si="2"/>
        <v>2.794</v>
      </c>
    </row>
    <row r="178" spans="1:11" x14ac:dyDescent="0.2">
      <c r="A178" s="3">
        <v>45013</v>
      </c>
      <c r="B178" s="4" t="s">
        <v>10</v>
      </c>
      <c r="C178" s="4">
        <v>7.8</v>
      </c>
      <c r="D178" s="4">
        <v>1.6</v>
      </c>
      <c r="E178" s="4">
        <v>5.2</v>
      </c>
      <c r="F178" s="4">
        <v>1.7</v>
      </c>
      <c r="G178" s="4">
        <v>0.109</v>
      </c>
      <c r="H178" s="4" t="s">
        <v>11</v>
      </c>
      <c r="I178" s="4">
        <v>13.9</v>
      </c>
      <c r="J178" s="4">
        <v>2</v>
      </c>
      <c r="K178" s="5">
        <f t="shared" si="2"/>
        <v>2.7685999999999997</v>
      </c>
    </row>
    <row r="179" spans="1:11" x14ac:dyDescent="0.2">
      <c r="A179" s="3">
        <v>44985</v>
      </c>
      <c r="B179" s="4" t="s">
        <v>10</v>
      </c>
      <c r="C179" s="4">
        <v>6.6</v>
      </c>
      <c r="D179" s="4">
        <v>4.2</v>
      </c>
      <c r="E179" s="4">
        <v>5.3</v>
      </c>
      <c r="F179" s="4">
        <v>1.7</v>
      </c>
      <c r="G179" s="4">
        <v>0.108</v>
      </c>
      <c r="H179" s="4" t="s">
        <v>11</v>
      </c>
      <c r="I179" s="4">
        <v>17</v>
      </c>
      <c r="J179" s="4">
        <v>4</v>
      </c>
      <c r="K179" s="5">
        <f t="shared" si="2"/>
        <v>2.7431999999999999</v>
      </c>
    </row>
    <row r="180" spans="1:11" x14ac:dyDescent="0.2">
      <c r="A180" s="3">
        <v>44613</v>
      </c>
      <c r="B180" s="4" t="s">
        <v>10</v>
      </c>
      <c r="C180" s="4">
        <v>10.5</v>
      </c>
      <c r="D180" s="4">
        <v>3</v>
      </c>
      <c r="E180" s="4">
        <v>6.4</v>
      </c>
      <c r="F180" s="4">
        <v>2.5</v>
      </c>
      <c r="G180" s="4">
        <v>0.107</v>
      </c>
      <c r="H180" s="4" t="s">
        <v>11</v>
      </c>
      <c r="I180" s="4">
        <v>31.4</v>
      </c>
      <c r="J180" s="4">
        <v>4</v>
      </c>
      <c r="K180" s="5">
        <f t="shared" si="2"/>
        <v>2.7178</v>
      </c>
    </row>
    <row r="181" spans="1:11" x14ac:dyDescent="0.2">
      <c r="A181" s="3">
        <v>45137</v>
      </c>
      <c r="B181" s="4" t="s">
        <v>10</v>
      </c>
      <c r="C181" s="4">
        <v>17.8</v>
      </c>
      <c r="D181" s="4">
        <v>13.1</v>
      </c>
      <c r="E181" s="4">
        <v>15.2</v>
      </c>
      <c r="F181" s="4">
        <v>15.2</v>
      </c>
      <c r="G181" s="4">
        <v>0.107</v>
      </c>
      <c r="H181" s="4" t="s">
        <v>11</v>
      </c>
      <c r="I181" s="4">
        <v>20.2</v>
      </c>
      <c r="J181" s="4">
        <v>10</v>
      </c>
      <c r="K181" s="5">
        <f t="shared" si="2"/>
        <v>2.7178</v>
      </c>
    </row>
    <row r="182" spans="1:11" x14ac:dyDescent="0.2">
      <c r="A182" s="3">
        <v>44999</v>
      </c>
      <c r="B182" s="4" t="s">
        <v>10</v>
      </c>
      <c r="C182" s="4">
        <v>4.8</v>
      </c>
      <c r="D182" s="4">
        <v>-1.7</v>
      </c>
      <c r="E182" s="4">
        <v>2.4</v>
      </c>
      <c r="F182" s="4">
        <v>-1.3</v>
      </c>
      <c r="G182" s="4">
        <v>0.106</v>
      </c>
      <c r="H182" s="4" t="s">
        <v>12</v>
      </c>
      <c r="I182" s="4">
        <v>18.899999999999999</v>
      </c>
      <c r="J182" s="4">
        <v>6</v>
      </c>
      <c r="K182" s="5">
        <f t="shared" si="2"/>
        <v>2.6923999999999997</v>
      </c>
    </row>
    <row r="183" spans="1:11" x14ac:dyDescent="0.2">
      <c r="A183" s="3">
        <v>44569</v>
      </c>
      <c r="B183" s="4" t="s">
        <v>10</v>
      </c>
      <c r="C183" s="4">
        <v>6.8</v>
      </c>
      <c r="D183" s="4">
        <v>-0.9</v>
      </c>
      <c r="E183" s="4">
        <v>3.3</v>
      </c>
      <c r="F183" s="4">
        <v>-0.5</v>
      </c>
      <c r="G183" s="4">
        <v>0.106</v>
      </c>
      <c r="H183" s="4" t="s">
        <v>12</v>
      </c>
      <c r="I183" s="4">
        <v>14.2</v>
      </c>
      <c r="J183" s="4">
        <v>1</v>
      </c>
      <c r="K183" s="5">
        <f t="shared" si="2"/>
        <v>2.6923999999999997</v>
      </c>
    </row>
    <row r="184" spans="1:11" x14ac:dyDescent="0.2">
      <c r="A184" s="3">
        <v>45028</v>
      </c>
      <c r="B184" s="4" t="s">
        <v>10</v>
      </c>
      <c r="C184" s="4">
        <v>7.7</v>
      </c>
      <c r="D184" s="4">
        <v>2.7</v>
      </c>
      <c r="E184" s="4">
        <v>5.7</v>
      </c>
      <c r="F184" s="4">
        <v>1.7</v>
      </c>
      <c r="G184" s="4">
        <v>0.104</v>
      </c>
      <c r="H184" s="4" t="s">
        <v>11</v>
      </c>
      <c r="I184" s="4">
        <v>20.5</v>
      </c>
      <c r="J184" s="4">
        <v>5</v>
      </c>
      <c r="K184" s="5">
        <f t="shared" si="2"/>
        <v>2.6415999999999999</v>
      </c>
    </row>
    <row r="185" spans="1:11" x14ac:dyDescent="0.2">
      <c r="A185" s="3">
        <v>44604</v>
      </c>
      <c r="B185" s="4" t="s">
        <v>10</v>
      </c>
      <c r="C185" s="4">
        <v>7.6</v>
      </c>
      <c r="D185" s="4">
        <v>3.1</v>
      </c>
      <c r="E185" s="4">
        <v>5.7</v>
      </c>
      <c r="F185" s="4">
        <v>0.9</v>
      </c>
      <c r="G185" s="4">
        <v>0.10299999999999999</v>
      </c>
      <c r="H185" s="4" t="s">
        <v>11</v>
      </c>
      <c r="I185" s="4">
        <v>22.8</v>
      </c>
      <c r="J185" s="4">
        <v>1</v>
      </c>
      <c r="K185" s="5">
        <f t="shared" si="2"/>
        <v>2.6161999999999996</v>
      </c>
    </row>
    <row r="186" spans="1:11" x14ac:dyDescent="0.2">
      <c r="A186" s="3">
        <v>44855</v>
      </c>
      <c r="B186" s="4" t="s">
        <v>10</v>
      </c>
      <c r="C186" s="4">
        <v>14.3</v>
      </c>
      <c r="D186" s="4">
        <v>10</v>
      </c>
      <c r="E186" s="4">
        <v>12.3</v>
      </c>
      <c r="F186" s="4">
        <v>12.3</v>
      </c>
      <c r="G186" s="4">
        <v>0.10199999999999999</v>
      </c>
      <c r="H186" s="4" t="s">
        <v>11</v>
      </c>
      <c r="I186" s="4">
        <v>12.9</v>
      </c>
      <c r="J186" s="4">
        <v>1</v>
      </c>
      <c r="K186" s="5">
        <f t="shared" si="2"/>
        <v>2.5907999999999998</v>
      </c>
    </row>
    <row r="187" spans="1:11" x14ac:dyDescent="0.2">
      <c r="A187" s="3">
        <v>45055</v>
      </c>
      <c r="B187" s="4" t="s">
        <v>10</v>
      </c>
      <c r="C187" s="4">
        <v>17.5</v>
      </c>
      <c r="D187" s="4">
        <v>10.3</v>
      </c>
      <c r="E187" s="4">
        <v>13.9</v>
      </c>
      <c r="F187" s="4">
        <v>13.9</v>
      </c>
      <c r="G187" s="4">
        <v>0.10199999999999999</v>
      </c>
      <c r="H187" s="4" t="s">
        <v>11</v>
      </c>
      <c r="I187" s="4">
        <v>11</v>
      </c>
      <c r="J187" s="4">
        <v>8</v>
      </c>
      <c r="K187" s="5">
        <f t="shared" si="2"/>
        <v>2.5907999999999998</v>
      </c>
    </row>
    <row r="188" spans="1:11" x14ac:dyDescent="0.2">
      <c r="A188" s="3">
        <v>44916</v>
      </c>
      <c r="B188" s="4" t="s">
        <v>10</v>
      </c>
      <c r="C188" s="4">
        <v>7.7</v>
      </c>
      <c r="D188" s="4">
        <v>4.3</v>
      </c>
      <c r="E188" s="4">
        <v>5.7</v>
      </c>
      <c r="F188" s="4">
        <v>1.7</v>
      </c>
      <c r="G188" s="4">
        <v>0.10100000000000001</v>
      </c>
      <c r="H188" s="4" t="s">
        <v>11</v>
      </c>
      <c r="I188" s="4">
        <v>19.8</v>
      </c>
      <c r="J188" s="4">
        <v>2</v>
      </c>
      <c r="K188" s="5">
        <f t="shared" si="2"/>
        <v>2.5653999999999999</v>
      </c>
    </row>
    <row r="189" spans="1:11" x14ac:dyDescent="0.2">
      <c r="A189" s="3">
        <v>45238</v>
      </c>
      <c r="B189" s="4" t="s">
        <v>10</v>
      </c>
      <c r="C189" s="4">
        <v>10.1</v>
      </c>
      <c r="D189" s="4">
        <v>5.8</v>
      </c>
      <c r="E189" s="4">
        <v>7.3</v>
      </c>
      <c r="F189" s="4">
        <v>4.4000000000000004</v>
      </c>
      <c r="G189" s="4">
        <v>0.10100000000000001</v>
      </c>
      <c r="H189" s="4" t="s">
        <v>11</v>
      </c>
      <c r="I189" s="4">
        <v>17.7</v>
      </c>
      <c r="J189" s="4">
        <v>2</v>
      </c>
      <c r="K189" s="5">
        <f t="shared" si="2"/>
        <v>2.5653999999999999</v>
      </c>
    </row>
    <row r="190" spans="1:11" x14ac:dyDescent="0.2">
      <c r="A190" s="3">
        <v>44975</v>
      </c>
      <c r="B190" s="4" t="s">
        <v>10</v>
      </c>
      <c r="C190" s="4">
        <v>11.6</v>
      </c>
      <c r="D190" s="4">
        <v>7.3</v>
      </c>
      <c r="E190" s="4">
        <v>10.1</v>
      </c>
      <c r="F190" s="4">
        <v>9</v>
      </c>
      <c r="G190" s="4">
        <v>0.10100000000000001</v>
      </c>
      <c r="H190" s="4" t="s">
        <v>11</v>
      </c>
      <c r="I190" s="4">
        <v>24.2</v>
      </c>
      <c r="J190" s="4">
        <v>2</v>
      </c>
      <c r="K190" s="5">
        <f t="shared" si="2"/>
        <v>2.5653999999999999</v>
      </c>
    </row>
    <row r="191" spans="1:11" x14ac:dyDescent="0.2">
      <c r="A191" s="3">
        <v>44930</v>
      </c>
      <c r="B191" s="4" t="s">
        <v>10</v>
      </c>
      <c r="C191" s="4">
        <v>12.3</v>
      </c>
      <c r="D191" s="4">
        <v>9.6</v>
      </c>
      <c r="E191" s="4">
        <v>10.8</v>
      </c>
      <c r="F191" s="4">
        <v>10.1</v>
      </c>
      <c r="G191" s="4">
        <v>0.1</v>
      </c>
      <c r="H191" s="4" t="s">
        <v>11</v>
      </c>
      <c r="I191" s="4">
        <v>27</v>
      </c>
      <c r="J191" s="4">
        <v>1</v>
      </c>
      <c r="K191" s="5">
        <f t="shared" si="2"/>
        <v>2.54</v>
      </c>
    </row>
    <row r="192" spans="1:11" x14ac:dyDescent="0.2">
      <c r="A192" s="3">
        <v>45202</v>
      </c>
      <c r="B192" s="4" t="s">
        <v>10</v>
      </c>
      <c r="C192" s="4">
        <v>14.7</v>
      </c>
      <c r="D192" s="4">
        <v>8.4</v>
      </c>
      <c r="E192" s="4">
        <v>11.8</v>
      </c>
      <c r="F192" s="4">
        <v>11.4</v>
      </c>
      <c r="G192" s="4">
        <v>9.8000000000000004E-2</v>
      </c>
      <c r="H192" s="4" t="s">
        <v>11</v>
      </c>
      <c r="I192" s="4">
        <v>19.3</v>
      </c>
      <c r="J192" s="4">
        <v>6</v>
      </c>
      <c r="K192" s="5">
        <f t="shared" si="2"/>
        <v>2.4891999999999999</v>
      </c>
    </row>
    <row r="193" spans="1:11" x14ac:dyDescent="0.2">
      <c r="A193" s="3">
        <v>45227</v>
      </c>
      <c r="B193" s="4" t="s">
        <v>10</v>
      </c>
      <c r="C193" s="4">
        <v>10.6</v>
      </c>
      <c r="D193" s="4">
        <v>7.7</v>
      </c>
      <c r="E193" s="4">
        <v>9</v>
      </c>
      <c r="F193" s="4">
        <v>7.2</v>
      </c>
      <c r="G193" s="4">
        <v>9.7000000000000003E-2</v>
      </c>
      <c r="H193" s="4" t="s">
        <v>11</v>
      </c>
      <c r="I193" s="4">
        <v>11.4</v>
      </c>
      <c r="J193" s="4">
        <v>1</v>
      </c>
      <c r="K193" s="5">
        <f t="shared" si="2"/>
        <v>2.4638</v>
      </c>
    </row>
    <row r="194" spans="1:11" x14ac:dyDescent="0.2">
      <c r="A194" s="3">
        <v>44717</v>
      </c>
      <c r="B194" s="4" t="s">
        <v>10</v>
      </c>
      <c r="C194" s="4">
        <v>12.2</v>
      </c>
      <c r="D194" s="4">
        <v>8.6999999999999993</v>
      </c>
      <c r="E194" s="4">
        <v>10.199999999999999</v>
      </c>
      <c r="F194" s="4">
        <v>9.4</v>
      </c>
      <c r="G194" s="4">
        <v>9.7000000000000003E-2</v>
      </c>
      <c r="H194" s="4" t="s">
        <v>11</v>
      </c>
      <c r="I194" s="4">
        <v>12.3</v>
      </c>
      <c r="J194" s="4">
        <v>3</v>
      </c>
      <c r="K194" s="5">
        <f t="shared" ref="K194:K257" si="3">SUM(G194*25.4)</f>
        <v>2.4638</v>
      </c>
    </row>
    <row r="195" spans="1:11" x14ac:dyDescent="0.2">
      <c r="A195" s="3">
        <v>45210</v>
      </c>
      <c r="B195" s="4" t="s">
        <v>10</v>
      </c>
      <c r="C195" s="4">
        <v>16.899999999999999</v>
      </c>
      <c r="D195" s="4">
        <v>7.5</v>
      </c>
      <c r="E195" s="4">
        <v>13</v>
      </c>
      <c r="F195" s="4">
        <v>12.7</v>
      </c>
      <c r="G195" s="4">
        <v>9.7000000000000003E-2</v>
      </c>
      <c r="H195" s="4" t="s">
        <v>11</v>
      </c>
      <c r="I195" s="4">
        <v>18.100000000000001</v>
      </c>
      <c r="J195" s="4">
        <v>2</v>
      </c>
      <c r="K195" s="5">
        <f t="shared" si="3"/>
        <v>2.4638</v>
      </c>
    </row>
    <row r="196" spans="1:11" x14ac:dyDescent="0.2">
      <c r="A196" s="3">
        <v>45195</v>
      </c>
      <c r="B196" s="4" t="s">
        <v>10</v>
      </c>
      <c r="C196" s="4">
        <v>18.7</v>
      </c>
      <c r="D196" s="4">
        <v>9.9</v>
      </c>
      <c r="E196" s="4">
        <v>13.3</v>
      </c>
      <c r="F196" s="4">
        <v>13.2</v>
      </c>
      <c r="G196" s="4">
        <v>9.7000000000000003E-2</v>
      </c>
      <c r="H196" s="4" t="s">
        <v>11</v>
      </c>
      <c r="I196" s="4">
        <v>16.100000000000001</v>
      </c>
      <c r="J196" s="4">
        <v>3</v>
      </c>
      <c r="K196" s="5">
        <f t="shared" si="3"/>
        <v>2.4638</v>
      </c>
    </row>
    <row r="197" spans="1:11" x14ac:dyDescent="0.2">
      <c r="A197" s="3">
        <v>44651</v>
      </c>
      <c r="B197" s="4" t="s">
        <v>10</v>
      </c>
      <c r="C197" s="4">
        <v>4.4000000000000004</v>
      </c>
      <c r="D197" s="4">
        <v>0.4</v>
      </c>
      <c r="E197" s="4">
        <v>1.9</v>
      </c>
      <c r="F197" s="4">
        <v>-2.6</v>
      </c>
      <c r="G197" s="4">
        <v>9.6000000000000002E-2</v>
      </c>
      <c r="H197" s="4" t="s">
        <v>12</v>
      </c>
      <c r="I197" s="4">
        <v>17.3</v>
      </c>
      <c r="J197" s="4">
        <v>5</v>
      </c>
      <c r="K197" s="5">
        <f t="shared" si="3"/>
        <v>2.4384000000000001</v>
      </c>
    </row>
    <row r="198" spans="1:11" x14ac:dyDescent="0.2">
      <c r="A198" s="3">
        <v>45007</v>
      </c>
      <c r="B198" s="4" t="s">
        <v>10</v>
      </c>
      <c r="C198" s="4">
        <v>12.8</v>
      </c>
      <c r="D198" s="4">
        <v>8.6999999999999993</v>
      </c>
      <c r="E198" s="4">
        <v>10.4</v>
      </c>
      <c r="F198" s="4">
        <v>8.9</v>
      </c>
      <c r="G198" s="4">
        <v>9.4E-2</v>
      </c>
      <c r="H198" s="4" t="s">
        <v>11</v>
      </c>
      <c r="I198" s="4">
        <v>22.4</v>
      </c>
      <c r="J198" s="4">
        <v>6</v>
      </c>
      <c r="K198" s="5">
        <f t="shared" si="3"/>
        <v>2.3875999999999999</v>
      </c>
    </row>
    <row r="199" spans="1:11" x14ac:dyDescent="0.2">
      <c r="A199" s="3">
        <v>44715</v>
      </c>
      <c r="B199" s="4" t="s">
        <v>10</v>
      </c>
      <c r="C199" s="4">
        <v>16.7</v>
      </c>
      <c r="D199" s="4">
        <v>9.1999999999999993</v>
      </c>
      <c r="E199" s="4">
        <v>12.8</v>
      </c>
      <c r="F199" s="4">
        <v>12.8</v>
      </c>
      <c r="G199" s="4">
        <v>9.4E-2</v>
      </c>
      <c r="H199" s="4" t="s">
        <v>11</v>
      </c>
      <c r="I199" s="4">
        <v>14.4</v>
      </c>
      <c r="J199" s="4">
        <v>6</v>
      </c>
      <c r="K199" s="5">
        <f t="shared" si="3"/>
        <v>2.3875999999999999</v>
      </c>
    </row>
    <row r="200" spans="1:11" x14ac:dyDescent="0.2">
      <c r="A200" s="3">
        <v>44984</v>
      </c>
      <c r="B200" s="4" t="s">
        <v>10</v>
      </c>
      <c r="C200" s="4">
        <v>7.1</v>
      </c>
      <c r="D200" s="4">
        <v>2.6</v>
      </c>
      <c r="E200" s="4">
        <v>4.8</v>
      </c>
      <c r="F200" s="4">
        <v>1.7</v>
      </c>
      <c r="G200" s="4">
        <v>9.2999999999999999E-2</v>
      </c>
      <c r="H200" s="4" t="s">
        <v>11</v>
      </c>
      <c r="I200" s="4">
        <v>13.7</v>
      </c>
      <c r="J200" s="4">
        <v>3</v>
      </c>
      <c r="K200" s="5">
        <f t="shared" si="3"/>
        <v>2.3621999999999996</v>
      </c>
    </row>
    <row r="201" spans="1:11" x14ac:dyDescent="0.2">
      <c r="A201" s="3">
        <v>44798</v>
      </c>
      <c r="B201" s="4" t="s">
        <v>10</v>
      </c>
      <c r="C201" s="4">
        <v>18.899999999999999</v>
      </c>
      <c r="D201" s="4">
        <v>11.5</v>
      </c>
      <c r="E201" s="4">
        <v>15.7</v>
      </c>
      <c r="F201" s="4">
        <v>15.7</v>
      </c>
      <c r="G201" s="4">
        <v>9.1999999999999998E-2</v>
      </c>
      <c r="H201" s="4" t="s">
        <v>11</v>
      </c>
      <c r="I201" s="4">
        <v>7.8</v>
      </c>
      <c r="J201" s="4">
        <v>5</v>
      </c>
      <c r="K201" s="5">
        <f t="shared" si="3"/>
        <v>2.3367999999999998</v>
      </c>
    </row>
    <row r="202" spans="1:11" x14ac:dyDescent="0.2">
      <c r="A202" s="3">
        <v>45273</v>
      </c>
      <c r="B202" s="4" t="s">
        <v>10</v>
      </c>
      <c r="C202" s="4">
        <v>6.7</v>
      </c>
      <c r="D202" s="4">
        <v>0.2</v>
      </c>
      <c r="E202" s="4">
        <v>4.5999999999999996</v>
      </c>
      <c r="F202" s="4">
        <v>0.9</v>
      </c>
      <c r="G202" s="4">
        <v>9.0999999999999998E-2</v>
      </c>
      <c r="H202" s="4" t="s">
        <v>12</v>
      </c>
      <c r="I202" s="4">
        <v>15.7</v>
      </c>
      <c r="J202" s="4">
        <v>3</v>
      </c>
      <c r="K202" s="5">
        <f t="shared" si="3"/>
        <v>2.3113999999999999</v>
      </c>
    </row>
    <row r="203" spans="1:11" x14ac:dyDescent="0.2">
      <c r="A203" s="3">
        <v>45128</v>
      </c>
      <c r="B203" s="4" t="s">
        <v>10</v>
      </c>
      <c r="C203" s="4">
        <v>16.3</v>
      </c>
      <c r="D203" s="4">
        <v>9.8000000000000007</v>
      </c>
      <c r="E203" s="4">
        <v>13.1</v>
      </c>
      <c r="F203" s="4">
        <v>13.1</v>
      </c>
      <c r="G203" s="4">
        <v>9.0999999999999998E-2</v>
      </c>
      <c r="H203" s="4" t="s">
        <v>11</v>
      </c>
      <c r="I203" s="4">
        <v>11.4</v>
      </c>
      <c r="J203" s="4">
        <v>7</v>
      </c>
      <c r="K203" s="5">
        <f t="shared" si="3"/>
        <v>2.3113999999999999</v>
      </c>
    </row>
    <row r="204" spans="1:11" x14ac:dyDescent="0.2">
      <c r="A204" s="3">
        <v>44851</v>
      </c>
      <c r="B204" s="4" t="s">
        <v>10</v>
      </c>
      <c r="C204" s="4">
        <v>16.3</v>
      </c>
      <c r="D204" s="4">
        <v>11.2</v>
      </c>
      <c r="E204" s="4">
        <v>13.5</v>
      </c>
      <c r="F204" s="4">
        <v>13.5</v>
      </c>
      <c r="G204" s="4">
        <v>0.09</v>
      </c>
      <c r="H204" s="4" t="s">
        <v>11</v>
      </c>
      <c r="I204" s="4">
        <v>22.8</v>
      </c>
      <c r="J204" s="4">
        <v>4</v>
      </c>
      <c r="K204" s="5">
        <f t="shared" si="3"/>
        <v>2.2859999999999996</v>
      </c>
    </row>
    <row r="205" spans="1:11" x14ac:dyDescent="0.2">
      <c r="A205" s="3">
        <v>44698</v>
      </c>
      <c r="B205" s="4" t="s">
        <v>10</v>
      </c>
      <c r="C205" s="4">
        <v>20.5</v>
      </c>
      <c r="D205" s="4">
        <v>9.6</v>
      </c>
      <c r="E205" s="4">
        <v>15.7</v>
      </c>
      <c r="F205" s="4">
        <v>15.6</v>
      </c>
      <c r="G205" s="4">
        <v>0.09</v>
      </c>
      <c r="H205" s="4" t="s">
        <v>11</v>
      </c>
      <c r="I205" s="4">
        <v>14.5</v>
      </c>
      <c r="J205" s="4">
        <v>7</v>
      </c>
      <c r="K205" s="5">
        <f t="shared" si="3"/>
        <v>2.2859999999999996</v>
      </c>
    </row>
    <row r="206" spans="1:11" x14ac:dyDescent="0.2">
      <c r="A206" s="3">
        <v>45133</v>
      </c>
      <c r="B206" s="4" t="s">
        <v>10</v>
      </c>
      <c r="C206" s="4">
        <v>20.9</v>
      </c>
      <c r="D206" s="4">
        <v>11.1</v>
      </c>
      <c r="E206" s="4">
        <v>15.4</v>
      </c>
      <c r="F206" s="4">
        <v>15.4</v>
      </c>
      <c r="G206" s="4">
        <v>8.8999999999999996E-2</v>
      </c>
      <c r="H206" s="4" t="s">
        <v>11</v>
      </c>
      <c r="I206" s="4">
        <v>12.7</v>
      </c>
      <c r="J206" s="4">
        <v>9</v>
      </c>
      <c r="K206" s="5">
        <f t="shared" si="3"/>
        <v>2.2605999999999997</v>
      </c>
    </row>
    <row r="207" spans="1:11" x14ac:dyDescent="0.2">
      <c r="A207" s="3">
        <v>44563</v>
      </c>
      <c r="B207" s="4" t="s">
        <v>10</v>
      </c>
      <c r="C207" s="4">
        <v>10.8</v>
      </c>
      <c r="D207" s="4">
        <v>8.1999999999999993</v>
      </c>
      <c r="E207" s="4">
        <v>9.1999999999999993</v>
      </c>
      <c r="F207" s="4">
        <v>6.7</v>
      </c>
      <c r="G207" s="4">
        <v>8.7999999999999995E-2</v>
      </c>
      <c r="H207" s="4" t="s">
        <v>11</v>
      </c>
      <c r="I207" s="4">
        <v>19.8</v>
      </c>
      <c r="J207" s="4">
        <v>1</v>
      </c>
      <c r="K207" s="5">
        <f t="shared" si="3"/>
        <v>2.2351999999999999</v>
      </c>
    </row>
    <row r="208" spans="1:11" x14ac:dyDescent="0.2">
      <c r="A208" s="3">
        <v>45235</v>
      </c>
      <c r="B208" s="4" t="s">
        <v>10</v>
      </c>
      <c r="C208" s="4">
        <v>10.9</v>
      </c>
      <c r="D208" s="4">
        <v>6.8</v>
      </c>
      <c r="E208" s="4">
        <v>8.3000000000000007</v>
      </c>
      <c r="F208" s="4">
        <v>5.9</v>
      </c>
      <c r="G208" s="4">
        <v>8.6999999999999994E-2</v>
      </c>
      <c r="H208" s="4" t="s">
        <v>11</v>
      </c>
      <c r="I208" s="4">
        <v>14.9</v>
      </c>
      <c r="J208" s="4">
        <v>4</v>
      </c>
      <c r="K208" s="5">
        <f t="shared" si="3"/>
        <v>2.2097999999999995</v>
      </c>
    </row>
    <row r="209" spans="1:11" x14ac:dyDescent="0.2">
      <c r="A209" s="3">
        <v>44648</v>
      </c>
      <c r="B209" s="4" t="s">
        <v>10</v>
      </c>
      <c r="C209" s="4">
        <v>11.4</v>
      </c>
      <c r="D209" s="4">
        <v>6.4</v>
      </c>
      <c r="E209" s="4">
        <v>8.4</v>
      </c>
      <c r="F209" s="4">
        <v>7.8</v>
      </c>
      <c r="G209" s="4">
        <v>8.6999999999999994E-2</v>
      </c>
      <c r="H209" s="4" t="s">
        <v>11</v>
      </c>
      <c r="I209" s="4">
        <v>6.8</v>
      </c>
      <c r="J209" s="4">
        <v>4</v>
      </c>
      <c r="K209" s="5">
        <f t="shared" si="3"/>
        <v>2.2097999999999995</v>
      </c>
    </row>
    <row r="210" spans="1:11" x14ac:dyDescent="0.2">
      <c r="A210" s="3">
        <v>44705</v>
      </c>
      <c r="B210" s="4" t="s">
        <v>10</v>
      </c>
      <c r="C210" s="4">
        <v>14.9</v>
      </c>
      <c r="D210" s="4">
        <v>8.6</v>
      </c>
      <c r="E210" s="4">
        <v>11.6</v>
      </c>
      <c r="F210" s="4">
        <v>10.8</v>
      </c>
      <c r="G210" s="4">
        <v>8.5999999999999993E-2</v>
      </c>
      <c r="H210" s="4" t="s">
        <v>11</v>
      </c>
      <c r="I210" s="4">
        <v>16.2</v>
      </c>
      <c r="J210" s="4">
        <v>9</v>
      </c>
      <c r="K210" s="5">
        <f t="shared" si="3"/>
        <v>2.1843999999999997</v>
      </c>
    </row>
    <row r="211" spans="1:11" x14ac:dyDescent="0.2">
      <c r="A211" s="3">
        <v>45186</v>
      </c>
      <c r="B211" s="4" t="s">
        <v>10</v>
      </c>
      <c r="C211" s="4">
        <v>18.100000000000001</v>
      </c>
      <c r="D211" s="4">
        <v>13.2</v>
      </c>
      <c r="E211" s="4">
        <v>15.2</v>
      </c>
      <c r="F211" s="4">
        <v>15.2</v>
      </c>
      <c r="G211" s="4">
        <v>8.5000000000000006E-2</v>
      </c>
      <c r="H211" s="4" t="s">
        <v>11</v>
      </c>
      <c r="I211" s="4">
        <v>14.2</v>
      </c>
      <c r="J211" s="4">
        <v>4</v>
      </c>
      <c r="K211" s="5">
        <f t="shared" si="3"/>
        <v>2.1590000000000003</v>
      </c>
    </row>
    <row r="212" spans="1:11" x14ac:dyDescent="0.2">
      <c r="A212" s="3">
        <v>45285</v>
      </c>
      <c r="B212" s="4" t="s">
        <v>10</v>
      </c>
      <c r="C212" s="4">
        <v>9.6999999999999993</v>
      </c>
      <c r="D212" s="4">
        <v>7.4</v>
      </c>
      <c r="E212" s="4">
        <v>8.8000000000000007</v>
      </c>
      <c r="F212" s="4">
        <v>5.7</v>
      </c>
      <c r="G212" s="4">
        <v>8.2000000000000003E-2</v>
      </c>
      <c r="H212" s="4" t="s">
        <v>11</v>
      </c>
      <c r="I212" s="4">
        <v>22.3</v>
      </c>
      <c r="J212" s="4">
        <v>1</v>
      </c>
      <c r="K212" s="5">
        <f t="shared" si="3"/>
        <v>2.0827999999999998</v>
      </c>
    </row>
    <row r="213" spans="1:11" x14ac:dyDescent="0.2">
      <c r="A213" s="3">
        <v>44795</v>
      </c>
      <c r="B213" s="4" t="s">
        <v>10</v>
      </c>
      <c r="C213" s="4">
        <v>22.6</v>
      </c>
      <c r="D213" s="4">
        <v>11.8</v>
      </c>
      <c r="E213" s="4">
        <v>17</v>
      </c>
      <c r="F213" s="4">
        <v>17</v>
      </c>
      <c r="G213" s="4">
        <v>8.1000000000000003E-2</v>
      </c>
      <c r="H213" s="4" t="s">
        <v>11</v>
      </c>
      <c r="I213" s="4">
        <v>13</v>
      </c>
      <c r="J213" s="4">
        <v>6</v>
      </c>
      <c r="K213" s="5">
        <f t="shared" si="3"/>
        <v>2.0573999999999999</v>
      </c>
    </row>
    <row r="214" spans="1:11" x14ac:dyDescent="0.2">
      <c r="A214" s="3">
        <v>45236</v>
      </c>
      <c r="B214" s="4" t="s">
        <v>10</v>
      </c>
      <c r="C214" s="4">
        <v>9.8000000000000007</v>
      </c>
      <c r="D214" s="4">
        <v>5.6</v>
      </c>
      <c r="E214" s="4">
        <v>7.7</v>
      </c>
      <c r="F214" s="4">
        <v>5.0999999999999996</v>
      </c>
      <c r="G214" s="4">
        <v>0.08</v>
      </c>
      <c r="H214" s="4" t="s">
        <v>11</v>
      </c>
      <c r="I214" s="4">
        <v>11.6</v>
      </c>
      <c r="J214" s="4">
        <v>3</v>
      </c>
      <c r="K214" s="5">
        <f t="shared" si="3"/>
        <v>2.032</v>
      </c>
    </row>
    <row r="215" spans="1:11" x14ac:dyDescent="0.2">
      <c r="A215" s="3">
        <v>45282</v>
      </c>
      <c r="B215" s="4" t="s">
        <v>10</v>
      </c>
      <c r="C215" s="4">
        <v>10.1</v>
      </c>
      <c r="D215" s="4">
        <v>7.7</v>
      </c>
      <c r="E215" s="4">
        <v>9.1</v>
      </c>
      <c r="F215" s="4">
        <v>5.7</v>
      </c>
      <c r="G215" s="4">
        <v>0.08</v>
      </c>
      <c r="H215" s="4" t="s">
        <v>11</v>
      </c>
      <c r="I215" s="4">
        <v>23.2</v>
      </c>
      <c r="J215" s="4">
        <v>2</v>
      </c>
      <c r="K215" s="5">
        <f t="shared" si="3"/>
        <v>2.032</v>
      </c>
    </row>
    <row r="216" spans="1:11" x14ac:dyDescent="0.2">
      <c r="A216" s="3">
        <v>44870</v>
      </c>
      <c r="B216" s="4" t="s">
        <v>10</v>
      </c>
      <c r="C216" s="4">
        <v>10.6</v>
      </c>
      <c r="D216" s="4">
        <v>4.4000000000000004</v>
      </c>
      <c r="E216" s="4">
        <v>7.7</v>
      </c>
      <c r="F216" s="4">
        <v>5.7</v>
      </c>
      <c r="G216" s="4">
        <v>0.08</v>
      </c>
      <c r="H216" s="4" t="s">
        <v>11</v>
      </c>
      <c r="I216" s="4">
        <v>14</v>
      </c>
      <c r="J216" s="4">
        <v>1</v>
      </c>
      <c r="K216" s="5">
        <f t="shared" si="3"/>
        <v>2.032</v>
      </c>
    </row>
    <row r="217" spans="1:11" x14ac:dyDescent="0.2">
      <c r="A217" s="3">
        <v>44814</v>
      </c>
      <c r="B217" s="4" t="s">
        <v>10</v>
      </c>
      <c r="C217" s="4">
        <v>16.7</v>
      </c>
      <c r="D217" s="4">
        <v>14</v>
      </c>
      <c r="E217" s="4">
        <v>15.2</v>
      </c>
      <c r="F217" s="4">
        <v>15.2</v>
      </c>
      <c r="G217" s="4">
        <v>7.8E-2</v>
      </c>
      <c r="H217" s="4" t="s">
        <v>11</v>
      </c>
      <c r="I217" s="4">
        <v>11.7</v>
      </c>
      <c r="J217" s="4">
        <v>2</v>
      </c>
      <c r="K217" s="5">
        <f t="shared" si="3"/>
        <v>1.9811999999999999</v>
      </c>
    </row>
    <row r="218" spans="1:11" x14ac:dyDescent="0.2">
      <c r="A218" s="3">
        <v>44790</v>
      </c>
      <c r="B218" s="4" t="s">
        <v>10</v>
      </c>
      <c r="C218" s="4">
        <v>18.3</v>
      </c>
      <c r="D218" s="4">
        <v>11.7</v>
      </c>
      <c r="E218" s="4">
        <v>15.1</v>
      </c>
      <c r="F218" s="4">
        <v>15.1</v>
      </c>
      <c r="G218" s="4">
        <v>7.6999999999999999E-2</v>
      </c>
      <c r="H218" s="4" t="s">
        <v>11</v>
      </c>
      <c r="I218" s="4">
        <v>13.6</v>
      </c>
      <c r="J218" s="4">
        <v>7</v>
      </c>
      <c r="K218" s="5">
        <f t="shared" si="3"/>
        <v>1.9557999999999998</v>
      </c>
    </row>
    <row r="219" spans="1:11" x14ac:dyDescent="0.2">
      <c r="A219" s="3">
        <v>44913</v>
      </c>
      <c r="B219" s="4" t="s">
        <v>10</v>
      </c>
      <c r="C219" s="4">
        <v>3.3</v>
      </c>
      <c r="D219" s="4">
        <v>-1.4</v>
      </c>
      <c r="E219" s="4">
        <v>0.3</v>
      </c>
      <c r="F219" s="4">
        <v>-4.7</v>
      </c>
      <c r="G219" s="4">
        <v>7.5999999999999998E-2</v>
      </c>
      <c r="H219" s="4" t="s">
        <v>12</v>
      </c>
      <c r="I219" s="4">
        <v>15.6</v>
      </c>
      <c r="J219" s="4">
        <v>0</v>
      </c>
      <c r="K219" s="5">
        <f t="shared" si="3"/>
        <v>1.9303999999999999</v>
      </c>
    </row>
    <row r="220" spans="1:11" x14ac:dyDescent="0.2">
      <c r="A220" s="3">
        <v>45039</v>
      </c>
      <c r="B220" s="4" t="s">
        <v>10</v>
      </c>
      <c r="C220" s="4">
        <v>11.2</v>
      </c>
      <c r="D220" s="4">
        <v>6.2</v>
      </c>
      <c r="E220" s="4">
        <v>8</v>
      </c>
      <c r="F220" s="4">
        <v>6.1</v>
      </c>
      <c r="G220" s="4">
        <v>7.5999999999999998E-2</v>
      </c>
      <c r="H220" s="4" t="s">
        <v>11</v>
      </c>
      <c r="I220" s="4">
        <v>13.8</v>
      </c>
      <c r="J220" s="4">
        <v>8</v>
      </c>
      <c r="K220" s="5">
        <f t="shared" si="3"/>
        <v>1.9303999999999999</v>
      </c>
    </row>
    <row r="221" spans="1:11" x14ac:dyDescent="0.2">
      <c r="A221" s="3">
        <v>44858</v>
      </c>
      <c r="B221" s="4" t="s">
        <v>10</v>
      </c>
      <c r="C221" s="4">
        <v>14.6</v>
      </c>
      <c r="D221" s="4">
        <v>10.4</v>
      </c>
      <c r="E221" s="4">
        <v>12.3</v>
      </c>
      <c r="F221" s="4">
        <v>12.3</v>
      </c>
      <c r="G221" s="4">
        <v>7.5999999999999998E-2</v>
      </c>
      <c r="H221" s="4" t="s">
        <v>11</v>
      </c>
      <c r="I221" s="4">
        <v>14.5</v>
      </c>
      <c r="J221" s="4">
        <v>3</v>
      </c>
      <c r="K221" s="5">
        <f t="shared" si="3"/>
        <v>1.9303999999999999</v>
      </c>
    </row>
    <row r="222" spans="1:11" x14ac:dyDescent="0.2">
      <c r="A222" s="3">
        <v>44973</v>
      </c>
      <c r="B222" s="4" t="s">
        <v>10</v>
      </c>
      <c r="C222" s="4">
        <v>10.9</v>
      </c>
      <c r="D222" s="4">
        <v>5.2</v>
      </c>
      <c r="E222" s="4">
        <v>8</v>
      </c>
      <c r="F222" s="4">
        <v>5.8</v>
      </c>
      <c r="G222" s="4">
        <v>7.4999999999999997E-2</v>
      </c>
      <c r="H222" s="4" t="s">
        <v>11</v>
      </c>
      <c r="I222" s="4">
        <v>15.5</v>
      </c>
      <c r="J222" s="4">
        <v>1</v>
      </c>
      <c r="K222" s="5">
        <f t="shared" si="3"/>
        <v>1.9049999999999998</v>
      </c>
    </row>
    <row r="223" spans="1:11" x14ac:dyDescent="0.2">
      <c r="A223" s="3">
        <v>45001</v>
      </c>
      <c r="B223" s="4" t="s">
        <v>10</v>
      </c>
      <c r="C223" s="4">
        <v>11.9</v>
      </c>
      <c r="D223" s="4">
        <v>5.2</v>
      </c>
      <c r="E223" s="4">
        <v>9.1999999999999993</v>
      </c>
      <c r="F223" s="4">
        <v>7.2</v>
      </c>
      <c r="G223" s="4">
        <v>7.4999999999999997E-2</v>
      </c>
      <c r="H223" s="4" t="s">
        <v>11</v>
      </c>
      <c r="I223" s="4">
        <v>18.600000000000001</v>
      </c>
      <c r="J223" s="4">
        <v>2</v>
      </c>
      <c r="K223" s="5">
        <f t="shared" si="3"/>
        <v>1.9049999999999998</v>
      </c>
    </row>
    <row r="224" spans="1:11" x14ac:dyDescent="0.2">
      <c r="A224" s="3">
        <v>45204</v>
      </c>
      <c r="B224" s="4" t="s">
        <v>10</v>
      </c>
      <c r="C224" s="4">
        <v>14.9</v>
      </c>
      <c r="D224" s="4">
        <v>12.8</v>
      </c>
      <c r="E224" s="4">
        <v>13.9</v>
      </c>
      <c r="F224" s="4">
        <v>13.9</v>
      </c>
      <c r="G224" s="4">
        <v>7.4999999999999997E-2</v>
      </c>
      <c r="H224" s="4" t="s">
        <v>11</v>
      </c>
      <c r="I224" s="4">
        <v>19.899999999999999</v>
      </c>
      <c r="J224" s="4">
        <v>3</v>
      </c>
      <c r="K224" s="5">
        <f t="shared" si="3"/>
        <v>1.9049999999999998</v>
      </c>
    </row>
    <row r="225" spans="1:11" x14ac:dyDescent="0.2">
      <c r="A225" s="3">
        <v>45163</v>
      </c>
      <c r="B225" s="4" t="s">
        <v>10</v>
      </c>
      <c r="C225" s="4">
        <v>17.399999999999999</v>
      </c>
      <c r="D225" s="4">
        <v>8.8000000000000007</v>
      </c>
      <c r="E225" s="4">
        <v>13</v>
      </c>
      <c r="F225" s="4">
        <v>12.7</v>
      </c>
      <c r="G225" s="4">
        <v>7.4999999999999997E-2</v>
      </c>
      <c r="H225" s="4" t="s">
        <v>11</v>
      </c>
      <c r="I225" s="4">
        <v>10.6</v>
      </c>
      <c r="J225" s="4">
        <v>8</v>
      </c>
      <c r="K225" s="5">
        <f t="shared" si="3"/>
        <v>1.9049999999999998</v>
      </c>
    </row>
    <row r="226" spans="1:11" x14ac:dyDescent="0.2">
      <c r="A226" s="3">
        <v>45251</v>
      </c>
      <c r="B226" s="4" t="s">
        <v>10</v>
      </c>
      <c r="C226" s="4">
        <v>8.8000000000000007</v>
      </c>
      <c r="D226" s="4">
        <v>4.0999999999999996</v>
      </c>
      <c r="E226" s="4">
        <v>7.1</v>
      </c>
      <c r="F226" s="4">
        <v>4.5999999999999996</v>
      </c>
      <c r="G226" s="4">
        <v>7.3999999999999996E-2</v>
      </c>
      <c r="H226" s="4" t="s">
        <v>11</v>
      </c>
      <c r="I226" s="4">
        <v>17.2</v>
      </c>
      <c r="J226" s="4">
        <v>2</v>
      </c>
      <c r="K226" s="5">
        <f t="shared" si="3"/>
        <v>1.8795999999999997</v>
      </c>
    </row>
    <row r="227" spans="1:11" x14ac:dyDescent="0.2">
      <c r="A227" s="3">
        <v>44835</v>
      </c>
      <c r="B227" s="4" t="s">
        <v>10</v>
      </c>
      <c r="C227" s="4">
        <v>15.7</v>
      </c>
      <c r="D227" s="4">
        <v>10.1</v>
      </c>
      <c r="E227" s="4">
        <v>12.4</v>
      </c>
      <c r="F227" s="4">
        <v>12.4</v>
      </c>
      <c r="G227" s="4">
        <v>7.3999999999999996E-2</v>
      </c>
      <c r="H227" s="4" t="s">
        <v>11</v>
      </c>
      <c r="I227" s="4">
        <v>19.8</v>
      </c>
      <c r="J227" s="4">
        <v>5</v>
      </c>
      <c r="K227" s="5">
        <f t="shared" si="3"/>
        <v>1.8795999999999997</v>
      </c>
    </row>
    <row r="228" spans="1:11" x14ac:dyDescent="0.2">
      <c r="A228" s="3">
        <v>44860</v>
      </c>
      <c r="B228" s="4" t="s">
        <v>10</v>
      </c>
      <c r="C228" s="4">
        <v>17</v>
      </c>
      <c r="D228" s="4">
        <v>12.1</v>
      </c>
      <c r="E228" s="4">
        <v>14.1</v>
      </c>
      <c r="F228" s="4">
        <v>14.1</v>
      </c>
      <c r="G228" s="4">
        <v>7.3999999999999996E-2</v>
      </c>
      <c r="H228" s="4" t="s">
        <v>11</v>
      </c>
      <c r="I228" s="4">
        <v>19.899999999999999</v>
      </c>
      <c r="J228" s="4">
        <v>4</v>
      </c>
      <c r="K228" s="5">
        <f t="shared" si="3"/>
        <v>1.8795999999999997</v>
      </c>
    </row>
    <row r="229" spans="1:11" x14ac:dyDescent="0.2">
      <c r="A229" s="3">
        <v>44887</v>
      </c>
      <c r="B229" s="4" t="s">
        <v>10</v>
      </c>
      <c r="C229" s="4">
        <v>8.5</v>
      </c>
      <c r="D229" s="4">
        <v>2.7</v>
      </c>
      <c r="E229" s="4">
        <v>6.6</v>
      </c>
      <c r="F229" s="4">
        <v>4.0999999999999996</v>
      </c>
      <c r="G229" s="4">
        <v>7.0999999999999994E-2</v>
      </c>
      <c r="H229" s="4" t="s">
        <v>11</v>
      </c>
      <c r="I229" s="4">
        <v>11.4</v>
      </c>
      <c r="J229" s="4">
        <v>1</v>
      </c>
      <c r="K229" s="5">
        <f t="shared" si="3"/>
        <v>1.8033999999999997</v>
      </c>
    </row>
    <row r="230" spans="1:11" x14ac:dyDescent="0.2">
      <c r="A230" s="3">
        <v>44939</v>
      </c>
      <c r="B230" s="4" t="s">
        <v>10</v>
      </c>
      <c r="C230" s="4">
        <v>8.6999999999999993</v>
      </c>
      <c r="D230" s="4">
        <v>4.7</v>
      </c>
      <c r="E230" s="4">
        <v>7.1</v>
      </c>
      <c r="F230" s="4">
        <v>3</v>
      </c>
      <c r="G230" s="4">
        <v>7.0999999999999994E-2</v>
      </c>
      <c r="H230" s="4" t="s">
        <v>11</v>
      </c>
      <c r="I230" s="4">
        <v>30.2</v>
      </c>
      <c r="J230" s="4">
        <v>1</v>
      </c>
      <c r="K230" s="5">
        <f t="shared" si="3"/>
        <v>1.8033999999999997</v>
      </c>
    </row>
    <row r="231" spans="1:11" x14ac:dyDescent="0.2">
      <c r="A231" s="3">
        <v>45046</v>
      </c>
      <c r="B231" s="4" t="s">
        <v>10</v>
      </c>
      <c r="C231" s="4">
        <v>15.2</v>
      </c>
      <c r="D231" s="4">
        <v>7.7</v>
      </c>
      <c r="E231" s="4">
        <v>10.9</v>
      </c>
      <c r="F231" s="4">
        <v>10.7</v>
      </c>
      <c r="G231" s="4">
        <v>7.0999999999999994E-2</v>
      </c>
      <c r="H231" s="4" t="s">
        <v>11</v>
      </c>
      <c r="I231" s="4">
        <v>16.899999999999999</v>
      </c>
      <c r="J231" s="4">
        <v>5</v>
      </c>
      <c r="K231" s="5">
        <f t="shared" si="3"/>
        <v>1.8033999999999997</v>
      </c>
    </row>
    <row r="232" spans="1:11" x14ac:dyDescent="0.2">
      <c r="A232" s="3">
        <v>44623</v>
      </c>
      <c r="B232" s="4" t="s">
        <v>10</v>
      </c>
      <c r="C232" s="4">
        <v>7.9</v>
      </c>
      <c r="D232" s="4">
        <v>4.7</v>
      </c>
      <c r="E232" s="4">
        <v>6.2</v>
      </c>
      <c r="F232" s="4">
        <v>3.8</v>
      </c>
      <c r="G232" s="4">
        <v>6.9000000000000006E-2</v>
      </c>
      <c r="H232" s="4" t="s">
        <v>11</v>
      </c>
      <c r="I232" s="4">
        <v>12</v>
      </c>
      <c r="J232" s="4">
        <v>2</v>
      </c>
      <c r="K232" s="5">
        <f t="shared" si="3"/>
        <v>1.7526000000000002</v>
      </c>
    </row>
    <row r="233" spans="1:11" x14ac:dyDescent="0.2">
      <c r="A233" s="3">
        <v>45118</v>
      </c>
      <c r="B233" s="4" t="s">
        <v>10</v>
      </c>
      <c r="C233" s="4">
        <v>19.100000000000001</v>
      </c>
      <c r="D233" s="4">
        <v>13.7</v>
      </c>
      <c r="E233" s="4">
        <v>16.3</v>
      </c>
      <c r="F233" s="4">
        <v>16.3</v>
      </c>
      <c r="G233" s="4">
        <v>6.9000000000000006E-2</v>
      </c>
      <c r="H233" s="4" t="s">
        <v>11</v>
      </c>
      <c r="I233" s="4">
        <v>15.3</v>
      </c>
      <c r="J233" s="4">
        <v>10</v>
      </c>
      <c r="K233" s="5">
        <f t="shared" si="3"/>
        <v>1.7526000000000002</v>
      </c>
    </row>
    <row r="234" spans="1:11" x14ac:dyDescent="0.2">
      <c r="A234" s="3">
        <v>44615</v>
      </c>
      <c r="B234" s="4" t="s">
        <v>10</v>
      </c>
      <c r="C234" s="4">
        <v>9.8000000000000007</v>
      </c>
      <c r="D234" s="4">
        <v>4.7</v>
      </c>
      <c r="E234" s="4">
        <v>7.2</v>
      </c>
      <c r="F234" s="4">
        <v>2.9</v>
      </c>
      <c r="G234" s="4">
        <v>6.8000000000000005E-2</v>
      </c>
      <c r="H234" s="4" t="s">
        <v>11</v>
      </c>
      <c r="I234" s="4">
        <v>26</v>
      </c>
      <c r="J234" s="4">
        <v>4</v>
      </c>
      <c r="K234" s="5">
        <f t="shared" si="3"/>
        <v>1.7272000000000001</v>
      </c>
    </row>
    <row r="235" spans="1:11" x14ac:dyDescent="0.2">
      <c r="A235" s="3">
        <v>45005</v>
      </c>
      <c r="B235" s="4" t="s">
        <v>10</v>
      </c>
      <c r="C235" s="4">
        <v>12.5</v>
      </c>
      <c r="D235" s="4">
        <v>6.2</v>
      </c>
      <c r="E235" s="4">
        <v>9.1999999999999993</v>
      </c>
      <c r="F235" s="4">
        <v>7.9</v>
      </c>
      <c r="G235" s="4">
        <v>6.7000000000000004E-2</v>
      </c>
      <c r="H235" s="4" t="s">
        <v>11</v>
      </c>
      <c r="I235" s="4">
        <v>11.4</v>
      </c>
      <c r="J235" s="4">
        <v>2</v>
      </c>
      <c r="K235" s="5">
        <f t="shared" si="3"/>
        <v>1.7018</v>
      </c>
    </row>
    <row r="236" spans="1:11" x14ac:dyDescent="0.2">
      <c r="A236" s="3">
        <v>44764</v>
      </c>
      <c r="B236" s="4" t="s">
        <v>10</v>
      </c>
      <c r="C236" s="4">
        <v>16.3</v>
      </c>
      <c r="D236" s="4">
        <v>13.3</v>
      </c>
      <c r="E236" s="4">
        <v>14.6</v>
      </c>
      <c r="F236" s="4">
        <v>14.6</v>
      </c>
      <c r="G236" s="4">
        <v>6.7000000000000004E-2</v>
      </c>
      <c r="H236" s="4" t="s">
        <v>11</v>
      </c>
      <c r="I236" s="4">
        <v>8</v>
      </c>
      <c r="J236" s="4">
        <v>2</v>
      </c>
      <c r="K236" s="5">
        <f t="shared" si="3"/>
        <v>1.7018</v>
      </c>
    </row>
    <row r="237" spans="1:11" x14ac:dyDescent="0.2">
      <c r="A237" s="3">
        <v>45029</v>
      </c>
      <c r="B237" s="4" t="s">
        <v>10</v>
      </c>
      <c r="C237" s="4">
        <v>9.8000000000000007</v>
      </c>
      <c r="D237" s="4">
        <v>4.0999999999999996</v>
      </c>
      <c r="E237" s="4">
        <v>6.9</v>
      </c>
      <c r="F237" s="4">
        <v>3.6</v>
      </c>
      <c r="G237" s="4">
        <v>6.6000000000000003E-2</v>
      </c>
      <c r="H237" s="4" t="s">
        <v>11</v>
      </c>
      <c r="I237" s="4">
        <v>18.5</v>
      </c>
      <c r="J237" s="4">
        <v>7</v>
      </c>
      <c r="K237" s="5">
        <f t="shared" si="3"/>
        <v>1.6763999999999999</v>
      </c>
    </row>
    <row r="238" spans="1:11" x14ac:dyDescent="0.2">
      <c r="A238" s="3">
        <v>44874</v>
      </c>
      <c r="B238" s="4" t="s">
        <v>10</v>
      </c>
      <c r="C238" s="4">
        <v>10.199999999999999</v>
      </c>
      <c r="D238" s="4">
        <v>8.1</v>
      </c>
      <c r="E238" s="4">
        <v>9.1999999999999993</v>
      </c>
      <c r="F238" s="4">
        <v>6.9</v>
      </c>
      <c r="G238" s="4">
        <v>6.6000000000000003E-2</v>
      </c>
      <c r="H238" s="4" t="s">
        <v>11</v>
      </c>
      <c r="I238" s="4">
        <v>14.4</v>
      </c>
      <c r="J238" s="4">
        <v>1</v>
      </c>
      <c r="K238" s="5">
        <f t="shared" si="3"/>
        <v>1.6763999999999999</v>
      </c>
    </row>
    <row r="239" spans="1:11" x14ac:dyDescent="0.2">
      <c r="A239" s="3">
        <v>45170</v>
      </c>
      <c r="B239" s="4" t="s">
        <v>10</v>
      </c>
      <c r="C239" s="4">
        <v>16.2</v>
      </c>
      <c r="D239" s="4">
        <v>12.9</v>
      </c>
      <c r="E239" s="4">
        <v>14.3</v>
      </c>
      <c r="F239" s="4">
        <v>14.3</v>
      </c>
      <c r="G239" s="4">
        <v>6.6000000000000003E-2</v>
      </c>
      <c r="H239" s="4" t="s">
        <v>11</v>
      </c>
      <c r="I239" s="4">
        <v>9.1999999999999993</v>
      </c>
      <c r="J239" s="4">
        <v>2</v>
      </c>
      <c r="K239" s="5">
        <f t="shared" si="3"/>
        <v>1.6763999999999999</v>
      </c>
    </row>
    <row r="240" spans="1:11" x14ac:dyDescent="0.2">
      <c r="A240" s="3">
        <v>44700</v>
      </c>
      <c r="B240" s="4" t="s">
        <v>10</v>
      </c>
      <c r="C240" s="4">
        <v>18.100000000000001</v>
      </c>
      <c r="D240" s="4">
        <v>9.3000000000000007</v>
      </c>
      <c r="E240" s="4">
        <v>13.3</v>
      </c>
      <c r="F240" s="4">
        <v>13.2</v>
      </c>
      <c r="G240" s="4">
        <v>6.6000000000000003E-2</v>
      </c>
      <c r="H240" s="4" t="s">
        <v>11</v>
      </c>
      <c r="I240" s="4">
        <v>11.3</v>
      </c>
      <c r="J240" s="4">
        <v>9</v>
      </c>
      <c r="K240" s="5">
        <f t="shared" si="3"/>
        <v>1.6763999999999999</v>
      </c>
    </row>
    <row r="241" spans="1:11" x14ac:dyDescent="0.2">
      <c r="A241" s="3">
        <v>44833</v>
      </c>
      <c r="B241" s="4" t="s">
        <v>10</v>
      </c>
      <c r="C241" s="4">
        <v>15.2</v>
      </c>
      <c r="D241" s="4">
        <v>7.4</v>
      </c>
      <c r="E241" s="4">
        <v>11.4</v>
      </c>
      <c r="F241" s="4">
        <v>11</v>
      </c>
      <c r="G241" s="4">
        <v>6.5000000000000002E-2</v>
      </c>
      <c r="H241" s="4" t="s">
        <v>11</v>
      </c>
      <c r="I241" s="4">
        <v>15</v>
      </c>
      <c r="J241" s="4">
        <v>7</v>
      </c>
      <c r="K241" s="5">
        <f t="shared" si="3"/>
        <v>1.651</v>
      </c>
    </row>
    <row r="242" spans="1:11" x14ac:dyDescent="0.2">
      <c r="A242" s="3">
        <v>44934</v>
      </c>
      <c r="B242" s="4" t="s">
        <v>10</v>
      </c>
      <c r="C242" s="4">
        <v>6.8</v>
      </c>
      <c r="D242" s="4">
        <v>4.0999999999999996</v>
      </c>
      <c r="E242" s="4">
        <v>5.6</v>
      </c>
      <c r="F242" s="4">
        <v>1.7</v>
      </c>
      <c r="G242" s="4">
        <v>6.4000000000000001E-2</v>
      </c>
      <c r="H242" s="4" t="s">
        <v>11</v>
      </c>
      <c r="I242" s="4">
        <v>18.600000000000001</v>
      </c>
      <c r="J242" s="4">
        <v>1</v>
      </c>
      <c r="K242" s="5">
        <f t="shared" si="3"/>
        <v>1.6255999999999999</v>
      </c>
    </row>
    <row r="243" spans="1:11" x14ac:dyDescent="0.2">
      <c r="A243" s="3">
        <v>45132</v>
      </c>
      <c r="B243" s="4" t="s">
        <v>10</v>
      </c>
      <c r="C243" s="4">
        <v>17.7</v>
      </c>
      <c r="D243" s="4">
        <v>8.5</v>
      </c>
      <c r="E243" s="4">
        <v>13.2</v>
      </c>
      <c r="F243" s="4">
        <v>13.2</v>
      </c>
      <c r="G243" s="4">
        <v>6.4000000000000001E-2</v>
      </c>
      <c r="H243" s="4" t="s">
        <v>11</v>
      </c>
      <c r="I243" s="4">
        <v>12.8</v>
      </c>
      <c r="J243" s="4">
        <v>10</v>
      </c>
      <c r="K243" s="5">
        <f t="shared" si="3"/>
        <v>1.6255999999999999</v>
      </c>
    </row>
    <row r="244" spans="1:11" x14ac:dyDescent="0.2">
      <c r="A244" s="3">
        <v>45283</v>
      </c>
      <c r="B244" s="4" t="s">
        <v>10</v>
      </c>
      <c r="C244" s="4">
        <v>11.1</v>
      </c>
      <c r="D244" s="4">
        <v>9.6999999999999993</v>
      </c>
      <c r="E244" s="4">
        <v>10.199999999999999</v>
      </c>
      <c r="F244" s="4">
        <v>9.1</v>
      </c>
      <c r="G244" s="4">
        <v>6.3E-2</v>
      </c>
      <c r="H244" s="4" t="s">
        <v>11</v>
      </c>
      <c r="I244" s="4">
        <v>23.8</v>
      </c>
      <c r="J244" s="4">
        <v>1</v>
      </c>
      <c r="K244" s="5">
        <f t="shared" si="3"/>
        <v>1.6001999999999998</v>
      </c>
    </row>
    <row r="245" spans="1:11" x14ac:dyDescent="0.2">
      <c r="A245" s="3">
        <v>45105</v>
      </c>
      <c r="B245" s="4" t="s">
        <v>10</v>
      </c>
      <c r="C245" s="4">
        <v>21.8</v>
      </c>
      <c r="D245" s="4">
        <v>14.9</v>
      </c>
      <c r="E245" s="4">
        <v>18.3</v>
      </c>
      <c r="F245" s="4">
        <v>18.3</v>
      </c>
      <c r="G245" s="4">
        <v>6.3E-2</v>
      </c>
      <c r="H245" s="4" t="s">
        <v>11</v>
      </c>
      <c r="I245" s="4">
        <v>13.3</v>
      </c>
      <c r="J245" s="4">
        <v>6</v>
      </c>
      <c r="K245" s="5">
        <f t="shared" si="3"/>
        <v>1.6001999999999998</v>
      </c>
    </row>
    <row r="246" spans="1:11" x14ac:dyDescent="0.2">
      <c r="A246" s="3">
        <v>44607</v>
      </c>
      <c r="B246" s="4" t="s">
        <v>10</v>
      </c>
      <c r="C246" s="4">
        <v>8.3000000000000007</v>
      </c>
      <c r="D246" s="4">
        <v>1.8</v>
      </c>
      <c r="E246" s="4">
        <v>5.0999999999999996</v>
      </c>
      <c r="F246" s="4">
        <v>1.2</v>
      </c>
      <c r="G246" s="4">
        <v>6.2E-2</v>
      </c>
      <c r="H246" s="4" t="s">
        <v>11</v>
      </c>
      <c r="I246" s="4">
        <v>17.8</v>
      </c>
      <c r="J246" s="4">
        <v>2</v>
      </c>
      <c r="K246" s="5">
        <f t="shared" si="3"/>
        <v>1.5748</v>
      </c>
    </row>
    <row r="247" spans="1:11" x14ac:dyDescent="0.2">
      <c r="A247" s="3">
        <v>44937</v>
      </c>
      <c r="B247" s="4" t="s">
        <v>10</v>
      </c>
      <c r="C247" s="4">
        <v>8.6</v>
      </c>
      <c r="D247" s="4">
        <v>5.8</v>
      </c>
      <c r="E247" s="4">
        <v>6.8</v>
      </c>
      <c r="F247" s="4">
        <v>2.6</v>
      </c>
      <c r="G247" s="4">
        <v>6.2E-2</v>
      </c>
      <c r="H247" s="4" t="s">
        <v>11</v>
      </c>
      <c r="I247" s="4">
        <v>22.4</v>
      </c>
      <c r="J247" s="4">
        <v>2</v>
      </c>
      <c r="K247" s="5">
        <f t="shared" si="3"/>
        <v>1.5748</v>
      </c>
    </row>
    <row r="248" spans="1:11" x14ac:dyDescent="0.2">
      <c r="A248" s="3">
        <v>44915</v>
      </c>
      <c r="B248" s="4" t="s">
        <v>10</v>
      </c>
      <c r="C248" s="4">
        <v>9.6999999999999993</v>
      </c>
      <c r="D248" s="4">
        <v>4</v>
      </c>
      <c r="E248" s="4">
        <v>6.8</v>
      </c>
      <c r="F248" s="4">
        <v>3.8</v>
      </c>
      <c r="G248" s="4">
        <v>6.2E-2</v>
      </c>
      <c r="H248" s="4" t="s">
        <v>11</v>
      </c>
      <c r="I248" s="4">
        <v>16.399999999999999</v>
      </c>
      <c r="J248" s="4">
        <v>2</v>
      </c>
      <c r="K248" s="5">
        <f t="shared" si="3"/>
        <v>1.5748</v>
      </c>
    </row>
    <row r="249" spans="1:11" x14ac:dyDescent="0.2">
      <c r="A249" s="3">
        <v>44567</v>
      </c>
      <c r="B249" s="4" t="s">
        <v>10</v>
      </c>
      <c r="C249" s="4">
        <v>4.2</v>
      </c>
      <c r="D249" s="4">
        <v>-4.3</v>
      </c>
      <c r="E249" s="4">
        <v>0.1</v>
      </c>
      <c r="F249" s="4">
        <v>-4.2</v>
      </c>
      <c r="G249" s="4">
        <v>6.0999999999999999E-2</v>
      </c>
      <c r="H249" s="4" t="s">
        <v>11</v>
      </c>
      <c r="I249" s="4">
        <v>19.100000000000001</v>
      </c>
      <c r="J249" s="4">
        <v>1</v>
      </c>
      <c r="K249" s="5">
        <f t="shared" si="3"/>
        <v>1.5493999999999999</v>
      </c>
    </row>
    <row r="250" spans="1:11" x14ac:dyDescent="0.2">
      <c r="A250" s="3">
        <v>45284</v>
      </c>
      <c r="B250" s="4" t="s">
        <v>10</v>
      </c>
      <c r="C250" s="4">
        <v>13.4</v>
      </c>
      <c r="D250" s="4">
        <v>9.6</v>
      </c>
      <c r="E250" s="4">
        <v>11.7</v>
      </c>
      <c r="F250" s="4">
        <v>11.3</v>
      </c>
      <c r="G250" s="4">
        <v>6.0999999999999999E-2</v>
      </c>
      <c r="H250" s="4" t="s">
        <v>11</v>
      </c>
      <c r="I250" s="4">
        <v>34.5</v>
      </c>
      <c r="J250" s="4">
        <v>1</v>
      </c>
      <c r="K250" s="5">
        <f t="shared" si="3"/>
        <v>1.5493999999999999</v>
      </c>
    </row>
    <row r="251" spans="1:11" x14ac:dyDescent="0.2">
      <c r="A251" s="3">
        <v>44699</v>
      </c>
      <c r="B251" s="4" t="s">
        <v>10</v>
      </c>
      <c r="C251" s="4">
        <v>18.899999999999999</v>
      </c>
      <c r="D251" s="4">
        <v>10</v>
      </c>
      <c r="E251" s="4">
        <v>14.9</v>
      </c>
      <c r="F251" s="4">
        <v>14.8</v>
      </c>
      <c r="G251" s="4">
        <v>6.0999999999999999E-2</v>
      </c>
      <c r="H251" s="4" t="s">
        <v>11</v>
      </c>
      <c r="I251" s="4">
        <v>15.8</v>
      </c>
      <c r="J251" s="4">
        <v>9</v>
      </c>
      <c r="K251" s="5">
        <f t="shared" si="3"/>
        <v>1.5493999999999999</v>
      </c>
    </row>
    <row r="252" spans="1:11" x14ac:dyDescent="0.2">
      <c r="A252" s="3">
        <v>44771</v>
      </c>
      <c r="B252" s="4" t="s">
        <v>10</v>
      </c>
      <c r="C252" s="4">
        <v>19.600000000000001</v>
      </c>
      <c r="D252" s="4">
        <v>12.9</v>
      </c>
      <c r="E252" s="4">
        <v>16</v>
      </c>
      <c r="F252" s="4">
        <v>16</v>
      </c>
      <c r="G252" s="4">
        <v>6.0999999999999999E-2</v>
      </c>
      <c r="H252" s="4" t="s">
        <v>11</v>
      </c>
      <c r="I252" s="4">
        <v>10.5</v>
      </c>
      <c r="J252" s="4">
        <v>7</v>
      </c>
      <c r="K252" s="5">
        <f t="shared" si="3"/>
        <v>1.5493999999999999</v>
      </c>
    </row>
    <row r="253" spans="1:11" x14ac:dyDescent="0.2">
      <c r="A253" s="3">
        <v>45180</v>
      </c>
      <c r="B253" s="4" t="s">
        <v>10</v>
      </c>
      <c r="C253" s="4">
        <v>21.4</v>
      </c>
      <c r="D253" s="4">
        <v>14.5</v>
      </c>
      <c r="E253" s="4">
        <v>18.100000000000001</v>
      </c>
      <c r="F253" s="4">
        <v>18.100000000000001</v>
      </c>
      <c r="G253" s="4">
        <v>0.06</v>
      </c>
      <c r="H253" s="4" t="s">
        <v>11</v>
      </c>
      <c r="I253" s="4">
        <v>11.9</v>
      </c>
      <c r="J253" s="4">
        <v>5</v>
      </c>
      <c r="K253" s="5">
        <f t="shared" si="3"/>
        <v>1.5239999999999998</v>
      </c>
    </row>
    <row r="254" spans="1:11" x14ac:dyDescent="0.2">
      <c r="A254" s="3">
        <v>44768</v>
      </c>
      <c r="B254" s="4" t="s">
        <v>10</v>
      </c>
      <c r="C254" s="4">
        <v>17.100000000000001</v>
      </c>
      <c r="D254" s="4">
        <v>11.4</v>
      </c>
      <c r="E254" s="4">
        <v>13.4</v>
      </c>
      <c r="F254" s="4">
        <v>13.4</v>
      </c>
      <c r="G254" s="4">
        <v>5.8999999999999997E-2</v>
      </c>
      <c r="H254" s="4" t="s">
        <v>11</v>
      </c>
      <c r="I254" s="4">
        <v>8.3000000000000007</v>
      </c>
      <c r="J254" s="4">
        <v>6</v>
      </c>
      <c r="K254" s="5">
        <f t="shared" si="3"/>
        <v>1.4985999999999999</v>
      </c>
    </row>
    <row r="255" spans="1:11" x14ac:dyDescent="0.2">
      <c r="A255" s="3">
        <v>44631</v>
      </c>
      <c r="B255" s="4" t="s">
        <v>10</v>
      </c>
      <c r="C255" s="4">
        <v>12.2</v>
      </c>
      <c r="D255" s="4">
        <v>7.7</v>
      </c>
      <c r="E255" s="4">
        <v>9.6</v>
      </c>
      <c r="F255" s="4">
        <v>7.2</v>
      </c>
      <c r="G255" s="4">
        <v>5.8000000000000003E-2</v>
      </c>
      <c r="H255" s="4" t="s">
        <v>11</v>
      </c>
      <c r="I255" s="4">
        <v>20.3</v>
      </c>
      <c r="J255" s="4">
        <v>4</v>
      </c>
      <c r="K255" s="5">
        <f t="shared" si="3"/>
        <v>1.4732000000000001</v>
      </c>
    </row>
    <row r="256" spans="1:11" x14ac:dyDescent="0.2">
      <c r="A256" s="3">
        <v>45250</v>
      </c>
      <c r="B256" s="4" t="s">
        <v>10</v>
      </c>
      <c r="C256" s="4">
        <v>11.1</v>
      </c>
      <c r="D256" s="4">
        <v>7.1</v>
      </c>
      <c r="E256" s="4">
        <v>9.4</v>
      </c>
      <c r="F256" s="4">
        <v>7.7</v>
      </c>
      <c r="G256" s="4">
        <v>5.7000000000000002E-2</v>
      </c>
      <c r="H256" s="4" t="s">
        <v>11</v>
      </c>
      <c r="I256" s="4">
        <v>16.5</v>
      </c>
      <c r="J256" s="4">
        <v>1</v>
      </c>
      <c r="K256" s="5">
        <f t="shared" si="3"/>
        <v>1.4478</v>
      </c>
    </row>
    <row r="257" spans="1:11" x14ac:dyDescent="0.2">
      <c r="A257" s="3">
        <v>45144</v>
      </c>
      <c r="B257" s="4" t="s">
        <v>10</v>
      </c>
      <c r="C257" s="4">
        <v>16.2</v>
      </c>
      <c r="D257" s="4">
        <v>10.3</v>
      </c>
      <c r="E257" s="4">
        <v>13.1</v>
      </c>
      <c r="F257" s="4">
        <v>13.1</v>
      </c>
      <c r="G257" s="4">
        <v>5.7000000000000002E-2</v>
      </c>
      <c r="H257" s="4" t="s">
        <v>11</v>
      </c>
      <c r="I257" s="4">
        <v>12.7</v>
      </c>
      <c r="J257" s="4">
        <v>7</v>
      </c>
      <c r="K257" s="5">
        <f t="shared" si="3"/>
        <v>1.4478</v>
      </c>
    </row>
    <row r="258" spans="1:11" x14ac:dyDescent="0.2">
      <c r="A258" s="3">
        <v>45052</v>
      </c>
      <c r="B258" s="4" t="s">
        <v>10</v>
      </c>
      <c r="C258" s="4">
        <v>16.7</v>
      </c>
      <c r="D258" s="4">
        <v>8.4</v>
      </c>
      <c r="E258" s="4">
        <v>12.5</v>
      </c>
      <c r="F258" s="4">
        <v>12.3</v>
      </c>
      <c r="G258" s="4">
        <v>5.7000000000000002E-2</v>
      </c>
      <c r="H258" s="4" t="s">
        <v>11</v>
      </c>
      <c r="I258" s="4">
        <v>11.4</v>
      </c>
      <c r="J258" s="4">
        <v>7</v>
      </c>
      <c r="K258" s="5">
        <f t="shared" ref="K258:K321" si="4">SUM(G258*25.4)</f>
        <v>1.4478</v>
      </c>
    </row>
    <row r="259" spans="1:11" x14ac:dyDescent="0.2">
      <c r="A259" s="3">
        <v>45196</v>
      </c>
      <c r="B259" s="4" t="s">
        <v>10</v>
      </c>
      <c r="C259" s="4">
        <v>17</v>
      </c>
      <c r="D259" s="4">
        <v>10.3</v>
      </c>
      <c r="E259" s="4">
        <v>13.7</v>
      </c>
      <c r="F259" s="4">
        <v>13.7</v>
      </c>
      <c r="G259" s="4">
        <v>5.7000000000000002E-2</v>
      </c>
      <c r="H259" s="4" t="s">
        <v>11</v>
      </c>
      <c r="I259" s="4">
        <v>21.9</v>
      </c>
      <c r="J259" s="4">
        <v>3</v>
      </c>
      <c r="K259" s="5">
        <f t="shared" si="4"/>
        <v>1.4478</v>
      </c>
    </row>
    <row r="260" spans="1:11" x14ac:dyDescent="0.2">
      <c r="A260" s="3">
        <v>44770</v>
      </c>
      <c r="B260" s="4" t="s">
        <v>10</v>
      </c>
      <c r="C260" s="4">
        <v>18.100000000000001</v>
      </c>
      <c r="D260" s="4">
        <v>13.3</v>
      </c>
      <c r="E260" s="4">
        <v>15.5</v>
      </c>
      <c r="F260" s="4">
        <v>15.5</v>
      </c>
      <c r="G260" s="4">
        <v>5.7000000000000002E-2</v>
      </c>
      <c r="H260" s="4" t="s">
        <v>11</v>
      </c>
      <c r="I260" s="4">
        <v>10.199999999999999</v>
      </c>
      <c r="J260" s="4">
        <v>3</v>
      </c>
      <c r="K260" s="5">
        <f t="shared" si="4"/>
        <v>1.4478</v>
      </c>
    </row>
    <row r="261" spans="1:11" x14ac:dyDescent="0.2">
      <c r="A261" s="3">
        <v>44900</v>
      </c>
      <c r="B261" s="4" t="s">
        <v>10</v>
      </c>
      <c r="C261" s="4">
        <v>6.2</v>
      </c>
      <c r="D261" s="4">
        <v>3.1</v>
      </c>
      <c r="E261" s="4">
        <v>4.5999999999999996</v>
      </c>
      <c r="F261" s="4">
        <v>1.4</v>
      </c>
      <c r="G261" s="4">
        <v>5.6000000000000001E-2</v>
      </c>
      <c r="H261" s="4" t="s">
        <v>11</v>
      </c>
      <c r="I261" s="4">
        <v>11.6</v>
      </c>
      <c r="J261" s="4">
        <v>1</v>
      </c>
      <c r="K261" s="5">
        <f t="shared" si="4"/>
        <v>1.4223999999999999</v>
      </c>
    </row>
    <row r="262" spans="1:11" x14ac:dyDescent="0.2">
      <c r="A262" s="3">
        <v>44657</v>
      </c>
      <c r="B262" s="4" t="s">
        <v>10</v>
      </c>
      <c r="C262" s="4">
        <v>10.7</v>
      </c>
      <c r="D262" s="4">
        <v>6.7</v>
      </c>
      <c r="E262" s="4">
        <v>9.3000000000000007</v>
      </c>
      <c r="F262" s="4">
        <v>6.3</v>
      </c>
      <c r="G262" s="4">
        <v>5.6000000000000001E-2</v>
      </c>
      <c r="H262" s="4" t="s">
        <v>11</v>
      </c>
      <c r="I262" s="4">
        <v>21.7</v>
      </c>
      <c r="J262" s="4">
        <v>7</v>
      </c>
      <c r="K262" s="5">
        <f t="shared" si="4"/>
        <v>1.4223999999999999</v>
      </c>
    </row>
    <row r="263" spans="1:11" x14ac:dyDescent="0.2">
      <c r="A263" s="3">
        <v>44931</v>
      </c>
      <c r="B263" s="4" t="s">
        <v>10</v>
      </c>
      <c r="C263" s="4">
        <v>10.7</v>
      </c>
      <c r="D263" s="4">
        <v>7.3</v>
      </c>
      <c r="E263" s="4">
        <v>9.1999999999999993</v>
      </c>
      <c r="F263" s="4">
        <v>7.4</v>
      </c>
      <c r="G263" s="4">
        <v>5.6000000000000001E-2</v>
      </c>
      <c r="H263" s="4" t="s">
        <v>11</v>
      </c>
      <c r="I263" s="4">
        <v>17.8</v>
      </c>
      <c r="J263" s="4">
        <v>1</v>
      </c>
      <c r="K263" s="5">
        <f t="shared" si="4"/>
        <v>1.4223999999999999</v>
      </c>
    </row>
    <row r="264" spans="1:11" x14ac:dyDescent="0.2">
      <c r="A264" s="3">
        <v>44687</v>
      </c>
      <c r="B264" s="4" t="s">
        <v>10</v>
      </c>
      <c r="C264" s="4">
        <v>15.5</v>
      </c>
      <c r="D264" s="4">
        <v>8.9</v>
      </c>
      <c r="E264" s="4">
        <v>12.3</v>
      </c>
      <c r="F264" s="4">
        <v>11.9</v>
      </c>
      <c r="G264" s="4">
        <v>5.6000000000000001E-2</v>
      </c>
      <c r="H264" s="4" t="s">
        <v>11</v>
      </c>
      <c r="I264" s="4">
        <v>12.9</v>
      </c>
      <c r="J264" s="4">
        <v>4</v>
      </c>
      <c r="K264" s="5">
        <f t="shared" si="4"/>
        <v>1.4223999999999999</v>
      </c>
    </row>
    <row r="265" spans="1:11" x14ac:dyDescent="0.2">
      <c r="A265" s="3">
        <v>44871</v>
      </c>
      <c r="B265" s="4" t="s">
        <v>10</v>
      </c>
      <c r="C265" s="4">
        <v>9.6</v>
      </c>
      <c r="D265" s="4">
        <v>5</v>
      </c>
      <c r="E265" s="4">
        <v>7.4</v>
      </c>
      <c r="F265" s="4">
        <v>4.7</v>
      </c>
      <c r="G265" s="4">
        <v>5.5E-2</v>
      </c>
      <c r="H265" s="4" t="s">
        <v>11</v>
      </c>
      <c r="I265" s="4">
        <v>13.6</v>
      </c>
      <c r="J265" s="4">
        <v>2</v>
      </c>
      <c r="K265" s="5">
        <f t="shared" si="4"/>
        <v>1.397</v>
      </c>
    </row>
    <row r="266" spans="1:11" x14ac:dyDescent="0.2">
      <c r="A266" s="3">
        <v>44862</v>
      </c>
      <c r="B266" s="4" t="s">
        <v>10</v>
      </c>
      <c r="C266" s="4">
        <v>15.6</v>
      </c>
      <c r="D266" s="4">
        <v>10.6</v>
      </c>
      <c r="E266" s="4">
        <v>13.6</v>
      </c>
      <c r="F266" s="4">
        <v>13.6</v>
      </c>
      <c r="G266" s="4">
        <v>5.5E-2</v>
      </c>
      <c r="H266" s="4" t="s">
        <v>11</v>
      </c>
      <c r="I266" s="4">
        <v>19.8</v>
      </c>
      <c r="J266" s="4">
        <v>4</v>
      </c>
      <c r="K266" s="5">
        <f t="shared" si="4"/>
        <v>1.397</v>
      </c>
    </row>
    <row r="267" spans="1:11" x14ac:dyDescent="0.2">
      <c r="A267" s="3">
        <v>45150</v>
      </c>
      <c r="B267" s="4" t="s">
        <v>10</v>
      </c>
      <c r="C267" s="4">
        <v>20.100000000000001</v>
      </c>
      <c r="D267" s="4">
        <v>13.7</v>
      </c>
      <c r="E267" s="4">
        <v>16.899999999999999</v>
      </c>
      <c r="F267" s="4">
        <v>16.899999999999999</v>
      </c>
      <c r="G267" s="4">
        <v>5.5E-2</v>
      </c>
      <c r="H267" s="4" t="s">
        <v>11</v>
      </c>
      <c r="I267" s="4">
        <v>18.3</v>
      </c>
      <c r="J267" s="4">
        <v>7</v>
      </c>
      <c r="K267" s="5">
        <f t="shared" si="4"/>
        <v>1.397</v>
      </c>
    </row>
    <row r="268" spans="1:11" x14ac:dyDescent="0.2">
      <c r="A268" s="3">
        <v>45263</v>
      </c>
      <c r="B268" s="4" t="s">
        <v>10</v>
      </c>
      <c r="C268" s="4">
        <v>0.3</v>
      </c>
      <c r="D268" s="4">
        <v>-0.9</v>
      </c>
      <c r="E268" s="4">
        <v>-0.2</v>
      </c>
      <c r="F268" s="4">
        <v>-1.4</v>
      </c>
      <c r="G268" s="4">
        <v>5.3999999999999999E-2</v>
      </c>
      <c r="H268" s="4" t="s">
        <v>12</v>
      </c>
      <c r="I268" s="4">
        <v>6.3</v>
      </c>
      <c r="J268" s="4">
        <v>0</v>
      </c>
      <c r="K268" s="5">
        <f t="shared" si="4"/>
        <v>1.3715999999999999</v>
      </c>
    </row>
    <row r="269" spans="1:11" x14ac:dyDescent="0.2">
      <c r="A269" s="3">
        <v>44622</v>
      </c>
      <c r="B269" s="4" t="s">
        <v>10</v>
      </c>
      <c r="C269" s="4">
        <v>5.9</v>
      </c>
      <c r="D269" s="4">
        <v>2.8</v>
      </c>
      <c r="E269" s="4">
        <v>5.0999999999999996</v>
      </c>
      <c r="F269" s="4">
        <v>1.3</v>
      </c>
      <c r="G269" s="4">
        <v>5.3999999999999999E-2</v>
      </c>
      <c r="H269" s="4" t="s">
        <v>11</v>
      </c>
      <c r="I269" s="4">
        <v>13.4</v>
      </c>
      <c r="J269" s="4">
        <v>2</v>
      </c>
      <c r="K269" s="5">
        <f t="shared" si="4"/>
        <v>1.3715999999999999</v>
      </c>
    </row>
    <row r="270" spans="1:11" x14ac:dyDescent="0.2">
      <c r="A270" s="3">
        <v>44958</v>
      </c>
      <c r="B270" s="4" t="s">
        <v>10</v>
      </c>
      <c r="C270" s="4">
        <v>9.1</v>
      </c>
      <c r="D270" s="4">
        <v>5.8</v>
      </c>
      <c r="E270" s="4">
        <v>7.6</v>
      </c>
      <c r="F270" s="4">
        <v>3.5</v>
      </c>
      <c r="G270" s="4">
        <v>5.3999999999999999E-2</v>
      </c>
      <c r="H270" s="4" t="s">
        <v>11</v>
      </c>
      <c r="I270" s="4">
        <v>22</v>
      </c>
      <c r="J270" s="4">
        <v>2</v>
      </c>
      <c r="K270" s="5">
        <f t="shared" si="4"/>
        <v>1.3715999999999999</v>
      </c>
    </row>
    <row r="271" spans="1:11" x14ac:dyDescent="0.2">
      <c r="A271" s="3">
        <v>45191</v>
      </c>
      <c r="B271" s="4" t="s">
        <v>10</v>
      </c>
      <c r="C271" s="4">
        <v>15.7</v>
      </c>
      <c r="D271" s="4">
        <v>6.4</v>
      </c>
      <c r="E271" s="4">
        <v>11</v>
      </c>
      <c r="F271" s="4">
        <v>10.6</v>
      </c>
      <c r="G271" s="4">
        <v>5.3999999999999999E-2</v>
      </c>
      <c r="H271" s="4" t="s">
        <v>11</v>
      </c>
      <c r="I271" s="4">
        <v>10.5</v>
      </c>
      <c r="J271" s="4">
        <v>3</v>
      </c>
      <c r="K271" s="5">
        <f t="shared" si="4"/>
        <v>1.3715999999999999</v>
      </c>
    </row>
    <row r="272" spans="1:11" x14ac:dyDescent="0.2">
      <c r="A272" s="3">
        <v>44917</v>
      </c>
      <c r="B272" s="4" t="s">
        <v>10</v>
      </c>
      <c r="C272" s="4">
        <v>5.9</v>
      </c>
      <c r="D272" s="4">
        <v>3.9</v>
      </c>
      <c r="E272" s="4">
        <v>5.2</v>
      </c>
      <c r="F272" s="4">
        <v>3.2</v>
      </c>
      <c r="G272" s="4">
        <v>5.2999999999999999E-2</v>
      </c>
      <c r="H272" s="4" t="s">
        <v>11</v>
      </c>
      <c r="I272" s="4">
        <v>12.6</v>
      </c>
      <c r="J272" s="4">
        <v>1</v>
      </c>
      <c r="K272" s="5">
        <f t="shared" si="4"/>
        <v>1.3461999999999998</v>
      </c>
    </row>
    <row r="273" spans="1:11" x14ac:dyDescent="0.2">
      <c r="A273" s="3">
        <v>44649</v>
      </c>
      <c r="B273" s="4" t="s">
        <v>10</v>
      </c>
      <c r="C273" s="4">
        <v>9</v>
      </c>
      <c r="D273" s="4">
        <v>6.3</v>
      </c>
      <c r="E273" s="4">
        <v>7.4</v>
      </c>
      <c r="F273" s="4">
        <v>6.8</v>
      </c>
      <c r="G273" s="4">
        <v>5.2999999999999999E-2</v>
      </c>
      <c r="H273" s="4" t="s">
        <v>11</v>
      </c>
      <c r="I273" s="4">
        <v>6.1</v>
      </c>
      <c r="J273" s="4">
        <v>3</v>
      </c>
      <c r="K273" s="5">
        <f t="shared" si="4"/>
        <v>1.3461999999999998</v>
      </c>
    </row>
    <row r="274" spans="1:11" x14ac:dyDescent="0.2">
      <c r="A274" s="3">
        <v>45110</v>
      </c>
      <c r="B274" s="4" t="s">
        <v>10</v>
      </c>
      <c r="C274" s="4">
        <v>16.5</v>
      </c>
      <c r="D274" s="4">
        <v>9.8000000000000007</v>
      </c>
      <c r="E274" s="4">
        <v>12.7</v>
      </c>
      <c r="F274" s="4">
        <v>12.6</v>
      </c>
      <c r="G274" s="4">
        <v>5.1999999999999998E-2</v>
      </c>
      <c r="H274" s="4" t="s">
        <v>11</v>
      </c>
      <c r="I274" s="4">
        <v>17.899999999999999</v>
      </c>
      <c r="J274" s="4">
        <v>7</v>
      </c>
      <c r="K274" s="5">
        <f t="shared" si="4"/>
        <v>1.3208</v>
      </c>
    </row>
    <row r="275" spans="1:11" x14ac:dyDescent="0.2">
      <c r="A275" s="3">
        <v>44815</v>
      </c>
      <c r="B275" s="4" t="s">
        <v>10</v>
      </c>
      <c r="C275" s="4">
        <v>19.2</v>
      </c>
      <c r="D275" s="4">
        <v>13.1</v>
      </c>
      <c r="E275" s="4">
        <v>16.100000000000001</v>
      </c>
      <c r="F275" s="4">
        <v>16.100000000000001</v>
      </c>
      <c r="G275" s="4">
        <v>5.1999999999999998E-2</v>
      </c>
      <c r="H275" s="4" t="s">
        <v>11</v>
      </c>
      <c r="I275" s="4">
        <v>12.9</v>
      </c>
      <c r="J275" s="4">
        <v>5</v>
      </c>
      <c r="K275" s="5">
        <f t="shared" si="4"/>
        <v>1.3208</v>
      </c>
    </row>
    <row r="276" spans="1:11" x14ac:dyDescent="0.2">
      <c r="A276" s="3">
        <v>44797</v>
      </c>
      <c r="B276" s="4" t="s">
        <v>10</v>
      </c>
      <c r="C276" s="4">
        <v>22.2</v>
      </c>
      <c r="D276" s="4">
        <v>16.600000000000001</v>
      </c>
      <c r="E276" s="4">
        <v>19.2</v>
      </c>
      <c r="F276" s="4">
        <v>19.2</v>
      </c>
      <c r="G276" s="4">
        <v>5.1999999999999998E-2</v>
      </c>
      <c r="H276" s="4" t="s">
        <v>11</v>
      </c>
      <c r="I276" s="4">
        <v>14</v>
      </c>
      <c r="J276" s="4">
        <v>7</v>
      </c>
      <c r="K276" s="5">
        <f t="shared" si="4"/>
        <v>1.3208</v>
      </c>
    </row>
    <row r="277" spans="1:11" x14ac:dyDescent="0.2">
      <c r="A277" s="3">
        <v>44881</v>
      </c>
      <c r="B277" s="4" t="s">
        <v>10</v>
      </c>
      <c r="C277" s="4">
        <v>8.4</v>
      </c>
      <c r="D277" s="4">
        <v>5.6</v>
      </c>
      <c r="E277" s="4">
        <v>7.3</v>
      </c>
      <c r="F277" s="4">
        <v>5.0999999999999996</v>
      </c>
      <c r="G277" s="4">
        <v>5.0999999999999997E-2</v>
      </c>
      <c r="H277" s="4" t="s">
        <v>11</v>
      </c>
      <c r="I277" s="4">
        <v>9.6</v>
      </c>
      <c r="J277" s="4">
        <v>1</v>
      </c>
      <c r="K277" s="5">
        <f t="shared" si="4"/>
        <v>1.2953999999999999</v>
      </c>
    </row>
    <row r="278" spans="1:11" x14ac:dyDescent="0.2">
      <c r="A278" s="3">
        <v>45104</v>
      </c>
      <c r="B278" s="4" t="s">
        <v>10</v>
      </c>
      <c r="C278" s="4">
        <v>16.899999999999999</v>
      </c>
      <c r="D278" s="4">
        <v>11.9</v>
      </c>
      <c r="E278" s="4">
        <v>14.8</v>
      </c>
      <c r="F278" s="4">
        <v>14.8</v>
      </c>
      <c r="G278" s="4">
        <v>5.0999999999999997E-2</v>
      </c>
      <c r="H278" s="4" t="s">
        <v>11</v>
      </c>
      <c r="I278" s="4">
        <v>11.7</v>
      </c>
      <c r="J278" s="4">
        <v>1</v>
      </c>
      <c r="K278" s="5">
        <f t="shared" si="4"/>
        <v>1.2953999999999999</v>
      </c>
    </row>
    <row r="279" spans="1:11" x14ac:dyDescent="0.2">
      <c r="A279" s="3">
        <v>45117</v>
      </c>
      <c r="B279" s="4" t="s">
        <v>10</v>
      </c>
      <c r="C279" s="4">
        <v>19.899999999999999</v>
      </c>
      <c r="D279" s="4">
        <v>11.3</v>
      </c>
      <c r="E279" s="4">
        <v>15.8</v>
      </c>
      <c r="F279" s="4">
        <v>15.8</v>
      </c>
      <c r="G279" s="4">
        <v>5.0999999999999997E-2</v>
      </c>
      <c r="H279" s="4" t="s">
        <v>11</v>
      </c>
      <c r="I279" s="4">
        <v>14.6</v>
      </c>
      <c r="J279" s="4">
        <v>8</v>
      </c>
      <c r="K279" s="5">
        <f t="shared" si="4"/>
        <v>1.2953999999999999</v>
      </c>
    </row>
    <row r="280" spans="1:11" x14ac:dyDescent="0.2">
      <c r="A280" s="3">
        <v>44789</v>
      </c>
      <c r="B280" s="4" t="s">
        <v>10</v>
      </c>
      <c r="C280" s="4">
        <v>20.6</v>
      </c>
      <c r="D280" s="4">
        <v>14.2</v>
      </c>
      <c r="E280" s="4">
        <v>16.899999999999999</v>
      </c>
      <c r="F280" s="4">
        <v>16.899999999999999</v>
      </c>
      <c r="G280" s="4">
        <v>5.0999999999999997E-2</v>
      </c>
      <c r="H280" s="4" t="s">
        <v>11</v>
      </c>
      <c r="I280" s="4">
        <v>13.1</v>
      </c>
      <c r="J280" s="4">
        <v>6</v>
      </c>
      <c r="K280" s="5">
        <f t="shared" si="4"/>
        <v>1.2953999999999999</v>
      </c>
    </row>
    <row r="281" spans="1:11" x14ac:dyDescent="0.2">
      <c r="A281" s="3">
        <v>45153</v>
      </c>
      <c r="B281" s="4" t="s">
        <v>10</v>
      </c>
      <c r="C281" s="4">
        <v>20.6</v>
      </c>
      <c r="D281" s="4">
        <v>13.8</v>
      </c>
      <c r="E281" s="4">
        <v>16.600000000000001</v>
      </c>
      <c r="F281" s="4">
        <v>16.600000000000001</v>
      </c>
      <c r="G281" s="4">
        <v>5.0999999999999997E-2</v>
      </c>
      <c r="H281" s="4" t="s">
        <v>11</v>
      </c>
      <c r="I281" s="4">
        <v>12.9</v>
      </c>
      <c r="J281" s="4">
        <v>8</v>
      </c>
      <c r="K281" s="5">
        <f t="shared" si="4"/>
        <v>1.2953999999999999</v>
      </c>
    </row>
    <row r="282" spans="1:11" x14ac:dyDescent="0.2">
      <c r="A282" s="3">
        <v>44775</v>
      </c>
      <c r="B282" s="4" t="s">
        <v>10</v>
      </c>
      <c r="C282" s="4">
        <v>21.9</v>
      </c>
      <c r="D282" s="4">
        <v>17.399999999999999</v>
      </c>
      <c r="E282" s="4">
        <v>20.100000000000001</v>
      </c>
      <c r="F282" s="4">
        <v>20.100000000000001</v>
      </c>
      <c r="G282" s="4">
        <v>5.0999999999999997E-2</v>
      </c>
      <c r="H282" s="4" t="s">
        <v>11</v>
      </c>
      <c r="I282" s="4">
        <v>16.8</v>
      </c>
      <c r="J282" s="4">
        <v>2</v>
      </c>
      <c r="K282" s="5">
        <f t="shared" si="4"/>
        <v>1.2953999999999999</v>
      </c>
    </row>
    <row r="283" spans="1:11" x14ac:dyDescent="0.2">
      <c r="A283" s="3">
        <v>45031</v>
      </c>
      <c r="B283" s="4" t="s">
        <v>10</v>
      </c>
      <c r="C283" s="4">
        <v>12.8</v>
      </c>
      <c r="D283" s="4">
        <v>4.5999999999999996</v>
      </c>
      <c r="E283" s="4">
        <v>8.1999999999999993</v>
      </c>
      <c r="F283" s="4">
        <v>6.8</v>
      </c>
      <c r="G283" s="4">
        <v>4.9000000000000002E-2</v>
      </c>
      <c r="H283" s="4" t="s">
        <v>11</v>
      </c>
      <c r="I283" s="4">
        <v>7.5</v>
      </c>
      <c r="J283" s="4">
        <v>7</v>
      </c>
      <c r="K283" s="5">
        <f t="shared" si="4"/>
        <v>1.2445999999999999</v>
      </c>
    </row>
    <row r="284" spans="1:11" x14ac:dyDescent="0.2">
      <c r="A284" s="3">
        <v>44596</v>
      </c>
      <c r="B284" s="4" t="s">
        <v>10</v>
      </c>
      <c r="C284" s="4">
        <v>8.8000000000000007</v>
      </c>
      <c r="D284" s="4">
        <v>2.2000000000000002</v>
      </c>
      <c r="E284" s="4">
        <v>4.5999999999999996</v>
      </c>
      <c r="F284" s="4">
        <v>0.7</v>
      </c>
      <c r="G284" s="4">
        <v>4.8000000000000001E-2</v>
      </c>
      <c r="H284" s="4" t="s">
        <v>11</v>
      </c>
      <c r="I284" s="4">
        <v>18.5</v>
      </c>
      <c r="J284" s="4">
        <v>2</v>
      </c>
      <c r="K284" s="5">
        <f t="shared" si="4"/>
        <v>1.2192000000000001</v>
      </c>
    </row>
    <row r="285" spans="1:11" x14ac:dyDescent="0.2">
      <c r="A285" s="3">
        <v>44846</v>
      </c>
      <c r="B285" s="4" t="s">
        <v>10</v>
      </c>
      <c r="C285" s="4">
        <v>13.7</v>
      </c>
      <c r="D285" s="4">
        <v>6.7</v>
      </c>
      <c r="E285" s="4">
        <v>10.4</v>
      </c>
      <c r="F285" s="4">
        <v>9.1999999999999993</v>
      </c>
      <c r="G285" s="4">
        <v>4.8000000000000001E-2</v>
      </c>
      <c r="H285" s="4" t="s">
        <v>11</v>
      </c>
      <c r="I285" s="4">
        <v>15.5</v>
      </c>
      <c r="J285" s="4">
        <v>3</v>
      </c>
      <c r="K285" s="5">
        <f t="shared" si="4"/>
        <v>1.2192000000000001</v>
      </c>
    </row>
    <row r="286" spans="1:11" x14ac:dyDescent="0.2">
      <c r="A286" s="3">
        <v>44864</v>
      </c>
      <c r="B286" s="4" t="s">
        <v>10</v>
      </c>
      <c r="C286" s="4">
        <v>14.6</v>
      </c>
      <c r="D286" s="4">
        <v>10.3</v>
      </c>
      <c r="E286" s="4">
        <v>11.8</v>
      </c>
      <c r="F286" s="4">
        <v>11.8</v>
      </c>
      <c r="G286" s="4">
        <v>4.8000000000000001E-2</v>
      </c>
      <c r="H286" s="4" t="s">
        <v>11</v>
      </c>
      <c r="I286" s="4">
        <v>15.7</v>
      </c>
      <c r="J286" s="4">
        <v>2</v>
      </c>
      <c r="K286" s="5">
        <f t="shared" si="4"/>
        <v>1.2192000000000001</v>
      </c>
    </row>
    <row r="287" spans="1:11" x14ac:dyDescent="0.2">
      <c r="A287" s="3">
        <v>44739</v>
      </c>
      <c r="B287" s="4" t="s">
        <v>10</v>
      </c>
      <c r="C287" s="4">
        <v>17.3</v>
      </c>
      <c r="D287" s="4">
        <v>9.9</v>
      </c>
      <c r="E287" s="4">
        <v>13.9</v>
      </c>
      <c r="F287" s="4">
        <v>13.9</v>
      </c>
      <c r="G287" s="4">
        <v>4.8000000000000001E-2</v>
      </c>
      <c r="H287" s="4" t="s">
        <v>11</v>
      </c>
      <c r="I287" s="4">
        <v>15</v>
      </c>
      <c r="J287" s="4">
        <v>7</v>
      </c>
      <c r="K287" s="5">
        <f t="shared" si="4"/>
        <v>1.2192000000000001</v>
      </c>
    </row>
    <row r="288" spans="1:11" x14ac:dyDescent="0.2">
      <c r="A288" s="3">
        <v>44932</v>
      </c>
      <c r="B288" s="4" t="s">
        <v>10</v>
      </c>
      <c r="C288" s="4">
        <v>9.1</v>
      </c>
      <c r="D288" s="4">
        <v>6.7</v>
      </c>
      <c r="E288" s="4">
        <v>7.7</v>
      </c>
      <c r="F288" s="4">
        <v>4.2</v>
      </c>
      <c r="G288" s="4">
        <v>4.5999999999999999E-2</v>
      </c>
      <c r="H288" s="4" t="s">
        <v>11</v>
      </c>
      <c r="I288" s="4">
        <v>16.3</v>
      </c>
      <c r="J288" s="4">
        <v>2</v>
      </c>
      <c r="K288" s="5">
        <f t="shared" si="4"/>
        <v>1.1683999999999999</v>
      </c>
    </row>
    <row r="289" spans="1:11" x14ac:dyDescent="0.2">
      <c r="A289" s="3">
        <v>44614</v>
      </c>
      <c r="B289" s="4" t="s">
        <v>10</v>
      </c>
      <c r="C289" s="4">
        <v>9.6999999999999993</v>
      </c>
      <c r="D289" s="4">
        <v>2.5</v>
      </c>
      <c r="E289" s="4">
        <v>6.9</v>
      </c>
      <c r="F289" s="4">
        <v>3.2</v>
      </c>
      <c r="G289" s="4">
        <v>4.5999999999999999E-2</v>
      </c>
      <c r="H289" s="4" t="s">
        <v>11</v>
      </c>
      <c r="I289" s="4">
        <v>21.1</v>
      </c>
      <c r="J289" s="4">
        <v>3</v>
      </c>
      <c r="K289" s="5">
        <f t="shared" si="4"/>
        <v>1.1683999999999999</v>
      </c>
    </row>
    <row r="290" spans="1:11" x14ac:dyDescent="0.2">
      <c r="A290" s="3">
        <v>45056</v>
      </c>
      <c r="B290" s="4" t="s">
        <v>10</v>
      </c>
      <c r="C290" s="4">
        <v>15.6</v>
      </c>
      <c r="D290" s="4">
        <v>7.2</v>
      </c>
      <c r="E290" s="4">
        <v>11.6</v>
      </c>
      <c r="F290" s="4">
        <v>11.2</v>
      </c>
      <c r="G290" s="4">
        <v>4.5999999999999999E-2</v>
      </c>
      <c r="H290" s="4" t="s">
        <v>11</v>
      </c>
      <c r="I290" s="4">
        <v>11.7</v>
      </c>
      <c r="J290" s="4">
        <v>6</v>
      </c>
      <c r="K290" s="5">
        <f t="shared" si="4"/>
        <v>1.1683999999999999</v>
      </c>
    </row>
    <row r="291" spans="1:11" x14ac:dyDescent="0.2">
      <c r="A291" s="3">
        <v>45017</v>
      </c>
      <c r="B291" s="4" t="s">
        <v>10</v>
      </c>
      <c r="C291" s="4">
        <v>7.2</v>
      </c>
      <c r="D291" s="4">
        <v>5.3</v>
      </c>
      <c r="E291" s="4">
        <v>6.3</v>
      </c>
      <c r="F291" s="4">
        <v>3.1</v>
      </c>
      <c r="G291" s="4">
        <v>4.4999999999999998E-2</v>
      </c>
      <c r="H291" s="4" t="s">
        <v>11</v>
      </c>
      <c r="I291" s="4">
        <v>12.2</v>
      </c>
      <c r="J291" s="4">
        <v>2</v>
      </c>
      <c r="K291" s="5">
        <f t="shared" si="4"/>
        <v>1.1429999999999998</v>
      </c>
    </row>
    <row r="292" spans="1:11" x14ac:dyDescent="0.2">
      <c r="A292" s="3">
        <v>44601</v>
      </c>
      <c r="B292" s="4" t="s">
        <v>10</v>
      </c>
      <c r="C292" s="4">
        <v>9.6999999999999993</v>
      </c>
      <c r="D292" s="4">
        <v>4.2</v>
      </c>
      <c r="E292" s="4">
        <v>7</v>
      </c>
      <c r="F292" s="4">
        <v>3.9</v>
      </c>
      <c r="G292" s="4">
        <v>4.4999999999999998E-2</v>
      </c>
      <c r="H292" s="4" t="s">
        <v>11</v>
      </c>
      <c r="I292" s="4">
        <v>17.100000000000001</v>
      </c>
      <c r="J292" s="4">
        <v>3</v>
      </c>
      <c r="K292" s="5">
        <f t="shared" si="4"/>
        <v>1.1429999999999998</v>
      </c>
    </row>
    <row r="293" spans="1:11" x14ac:dyDescent="0.2">
      <c r="A293" s="3">
        <v>45278</v>
      </c>
      <c r="B293" s="4" t="s">
        <v>10</v>
      </c>
      <c r="C293" s="4">
        <v>12.4</v>
      </c>
      <c r="D293" s="4">
        <v>10.199999999999999</v>
      </c>
      <c r="E293" s="4">
        <v>11.1</v>
      </c>
      <c r="F293" s="4">
        <v>11.1</v>
      </c>
      <c r="G293" s="4">
        <v>4.4999999999999998E-2</v>
      </c>
      <c r="H293" s="4" t="s">
        <v>11</v>
      </c>
      <c r="I293" s="4">
        <v>16.399999999999999</v>
      </c>
      <c r="J293" s="4">
        <v>0</v>
      </c>
      <c r="K293" s="5">
        <f t="shared" si="4"/>
        <v>1.1429999999999998</v>
      </c>
    </row>
    <row r="294" spans="1:11" x14ac:dyDescent="0.2">
      <c r="A294" s="3">
        <v>45077</v>
      </c>
      <c r="B294" s="4" t="s">
        <v>10</v>
      </c>
      <c r="C294" s="4">
        <v>13.8</v>
      </c>
      <c r="D294" s="4">
        <v>9.6999999999999993</v>
      </c>
      <c r="E294" s="4">
        <v>11.1</v>
      </c>
      <c r="F294" s="4">
        <v>10.7</v>
      </c>
      <c r="G294" s="4">
        <v>4.3999999999999997E-2</v>
      </c>
      <c r="H294" s="4" t="s">
        <v>11</v>
      </c>
      <c r="I294" s="4">
        <v>11.9</v>
      </c>
      <c r="J294" s="4">
        <v>6</v>
      </c>
      <c r="K294" s="5">
        <f t="shared" si="4"/>
        <v>1.1175999999999999</v>
      </c>
    </row>
    <row r="295" spans="1:11" x14ac:dyDescent="0.2">
      <c r="A295" s="3">
        <v>44980</v>
      </c>
      <c r="B295" s="4" t="s">
        <v>10</v>
      </c>
      <c r="C295" s="4">
        <v>7.3</v>
      </c>
      <c r="D295" s="4">
        <v>2.4</v>
      </c>
      <c r="E295" s="4">
        <v>4.5999999999999996</v>
      </c>
      <c r="F295" s="4">
        <v>1.2</v>
      </c>
      <c r="G295" s="4">
        <v>4.2999999999999997E-2</v>
      </c>
      <c r="H295" s="4" t="s">
        <v>11</v>
      </c>
      <c r="I295" s="4">
        <v>14.7</v>
      </c>
      <c r="J295" s="4">
        <v>5</v>
      </c>
      <c r="K295" s="5">
        <f t="shared" si="4"/>
        <v>1.0921999999999998</v>
      </c>
    </row>
    <row r="296" spans="1:11" x14ac:dyDescent="0.2">
      <c r="A296" s="3">
        <v>44682</v>
      </c>
      <c r="B296" s="4" t="s">
        <v>10</v>
      </c>
      <c r="C296" s="4">
        <v>13.1</v>
      </c>
      <c r="D296" s="4">
        <v>7.9</v>
      </c>
      <c r="E296" s="4">
        <v>10.3</v>
      </c>
      <c r="F296" s="4">
        <v>9.4</v>
      </c>
      <c r="G296" s="4">
        <v>4.2999999999999997E-2</v>
      </c>
      <c r="H296" s="4" t="s">
        <v>11</v>
      </c>
      <c r="I296" s="4">
        <v>8.5</v>
      </c>
      <c r="J296" s="4">
        <v>4</v>
      </c>
      <c r="K296" s="5">
        <f t="shared" si="4"/>
        <v>1.0921999999999998</v>
      </c>
    </row>
    <row r="297" spans="1:11" x14ac:dyDescent="0.2">
      <c r="A297" s="3">
        <v>45161</v>
      </c>
      <c r="B297" s="4" t="s">
        <v>10</v>
      </c>
      <c r="C297" s="4">
        <v>20.399999999999999</v>
      </c>
      <c r="D297" s="4">
        <v>14.4</v>
      </c>
      <c r="E297" s="4">
        <v>16.7</v>
      </c>
      <c r="F297" s="4">
        <v>16.7</v>
      </c>
      <c r="G297" s="4">
        <v>4.2999999999999997E-2</v>
      </c>
      <c r="H297" s="4" t="s">
        <v>11</v>
      </c>
      <c r="I297" s="4">
        <v>9.1999999999999993</v>
      </c>
      <c r="J297" s="4">
        <v>6</v>
      </c>
      <c r="K297" s="5">
        <f t="shared" si="4"/>
        <v>1.0921999999999998</v>
      </c>
    </row>
    <row r="298" spans="1:11" x14ac:dyDescent="0.2">
      <c r="A298" s="3">
        <v>44626</v>
      </c>
      <c r="B298" s="4" t="s">
        <v>10</v>
      </c>
      <c r="C298" s="4">
        <v>8.1999999999999993</v>
      </c>
      <c r="D298" s="4">
        <v>0.1</v>
      </c>
      <c r="E298" s="4">
        <v>3.6</v>
      </c>
      <c r="F298" s="4">
        <v>1</v>
      </c>
      <c r="G298" s="4">
        <v>4.2000000000000003E-2</v>
      </c>
      <c r="H298" s="4" t="s">
        <v>11</v>
      </c>
      <c r="I298" s="4">
        <v>10.8</v>
      </c>
      <c r="J298" s="4">
        <v>4</v>
      </c>
      <c r="K298" s="5">
        <f t="shared" si="4"/>
        <v>1.0668</v>
      </c>
    </row>
    <row r="299" spans="1:11" x14ac:dyDescent="0.2">
      <c r="A299" s="3">
        <v>44920</v>
      </c>
      <c r="B299" s="4" t="s">
        <v>10</v>
      </c>
      <c r="C299" s="4">
        <v>9.1</v>
      </c>
      <c r="D299" s="4">
        <v>6</v>
      </c>
      <c r="E299" s="4">
        <v>7.2</v>
      </c>
      <c r="F299" s="4">
        <v>3.8</v>
      </c>
      <c r="G299" s="4">
        <v>4.2000000000000003E-2</v>
      </c>
      <c r="H299" s="4" t="s">
        <v>11</v>
      </c>
      <c r="I299" s="4">
        <v>16.3</v>
      </c>
      <c r="J299" s="4">
        <v>1</v>
      </c>
      <c r="K299" s="5">
        <f t="shared" si="4"/>
        <v>1.0668</v>
      </c>
    </row>
    <row r="300" spans="1:11" x14ac:dyDescent="0.2">
      <c r="A300" s="3">
        <v>44711</v>
      </c>
      <c r="B300" s="4" t="s">
        <v>10</v>
      </c>
      <c r="C300" s="4">
        <v>12.6</v>
      </c>
      <c r="D300" s="4">
        <v>6.8</v>
      </c>
      <c r="E300" s="4">
        <v>10</v>
      </c>
      <c r="F300" s="4">
        <v>9.4</v>
      </c>
      <c r="G300" s="4">
        <v>4.1000000000000002E-2</v>
      </c>
      <c r="H300" s="4" t="s">
        <v>11</v>
      </c>
      <c r="I300" s="4">
        <v>12</v>
      </c>
      <c r="J300" s="4">
        <v>5</v>
      </c>
      <c r="K300" s="5">
        <f t="shared" si="4"/>
        <v>1.0413999999999999</v>
      </c>
    </row>
    <row r="301" spans="1:11" x14ac:dyDescent="0.2">
      <c r="A301" s="3">
        <v>45139</v>
      </c>
      <c r="B301" s="4" t="s">
        <v>10</v>
      </c>
      <c r="C301" s="4">
        <v>17.8</v>
      </c>
      <c r="D301" s="4">
        <v>13.6</v>
      </c>
      <c r="E301" s="4">
        <v>15.4</v>
      </c>
      <c r="F301" s="4">
        <v>15.4</v>
      </c>
      <c r="G301" s="4">
        <v>4.1000000000000002E-2</v>
      </c>
      <c r="H301" s="4" t="s">
        <v>11</v>
      </c>
      <c r="I301" s="4">
        <v>12.3</v>
      </c>
      <c r="J301" s="4">
        <v>3</v>
      </c>
      <c r="K301" s="5">
        <f t="shared" si="4"/>
        <v>1.0413999999999999</v>
      </c>
    </row>
    <row r="302" spans="1:11" x14ac:dyDescent="0.2">
      <c r="A302" s="3">
        <v>44953</v>
      </c>
      <c r="B302" s="4" t="s">
        <v>10</v>
      </c>
      <c r="C302" s="4">
        <v>5.5</v>
      </c>
      <c r="D302" s="4">
        <v>1.8</v>
      </c>
      <c r="E302" s="4">
        <v>3.8</v>
      </c>
      <c r="F302" s="4">
        <v>1.8</v>
      </c>
      <c r="G302" s="4">
        <v>0.04</v>
      </c>
      <c r="H302" s="4" t="s">
        <v>11</v>
      </c>
      <c r="I302" s="4">
        <v>7.8</v>
      </c>
      <c r="J302" s="4">
        <v>3</v>
      </c>
      <c r="K302" s="5">
        <f t="shared" si="4"/>
        <v>1.016</v>
      </c>
    </row>
    <row r="303" spans="1:11" x14ac:dyDescent="0.2">
      <c r="A303" s="3">
        <v>44919</v>
      </c>
      <c r="B303" s="4" t="s">
        <v>10</v>
      </c>
      <c r="C303" s="4">
        <v>8.1</v>
      </c>
      <c r="D303" s="4">
        <v>4.5999999999999996</v>
      </c>
      <c r="E303" s="4">
        <v>6.7</v>
      </c>
      <c r="F303" s="4">
        <v>3.5</v>
      </c>
      <c r="G303" s="4">
        <v>0.04</v>
      </c>
      <c r="H303" s="4" t="s">
        <v>11</v>
      </c>
      <c r="I303" s="4">
        <v>16.5</v>
      </c>
      <c r="J303" s="4">
        <v>2</v>
      </c>
      <c r="K303" s="5">
        <f t="shared" si="4"/>
        <v>1.016</v>
      </c>
    </row>
    <row r="304" spans="1:11" x14ac:dyDescent="0.2">
      <c r="A304" s="3">
        <v>44850</v>
      </c>
      <c r="B304" s="4" t="s">
        <v>10</v>
      </c>
      <c r="C304" s="4">
        <v>13.3</v>
      </c>
      <c r="D304" s="4">
        <v>7.9</v>
      </c>
      <c r="E304" s="4">
        <v>10.4</v>
      </c>
      <c r="F304" s="4">
        <v>8.9</v>
      </c>
      <c r="G304" s="4">
        <v>0.04</v>
      </c>
      <c r="H304" s="4" t="s">
        <v>11</v>
      </c>
      <c r="I304" s="4">
        <v>20.6</v>
      </c>
      <c r="J304" s="4">
        <v>5</v>
      </c>
      <c r="K304" s="5">
        <f t="shared" si="4"/>
        <v>1.016</v>
      </c>
    </row>
    <row r="305" spans="1:11" x14ac:dyDescent="0.2">
      <c r="A305" s="3">
        <v>45119</v>
      </c>
      <c r="B305" s="4" t="s">
        <v>10</v>
      </c>
      <c r="C305" s="4">
        <v>17.100000000000001</v>
      </c>
      <c r="D305" s="4">
        <v>12.7</v>
      </c>
      <c r="E305" s="4">
        <v>14.9</v>
      </c>
      <c r="F305" s="4">
        <v>14.9</v>
      </c>
      <c r="G305" s="4">
        <v>0.04</v>
      </c>
      <c r="H305" s="4" t="s">
        <v>11</v>
      </c>
      <c r="I305" s="4">
        <v>16.7</v>
      </c>
      <c r="J305" s="4">
        <v>6</v>
      </c>
      <c r="K305" s="5">
        <f t="shared" si="4"/>
        <v>1.016</v>
      </c>
    </row>
    <row r="306" spans="1:11" x14ac:dyDescent="0.2">
      <c r="A306" s="3">
        <v>44804</v>
      </c>
      <c r="B306" s="4" t="s">
        <v>10</v>
      </c>
      <c r="C306" s="4">
        <v>19.7</v>
      </c>
      <c r="D306" s="4">
        <v>11.9</v>
      </c>
      <c r="E306" s="4">
        <v>15.2</v>
      </c>
      <c r="F306" s="4">
        <v>15.2</v>
      </c>
      <c r="G306" s="4">
        <v>0.04</v>
      </c>
      <c r="H306" s="4" t="s">
        <v>11</v>
      </c>
      <c r="I306" s="4">
        <v>13.5</v>
      </c>
      <c r="J306" s="4">
        <v>4</v>
      </c>
      <c r="K306" s="5">
        <f t="shared" si="4"/>
        <v>1.016</v>
      </c>
    </row>
    <row r="307" spans="1:11" x14ac:dyDescent="0.2">
      <c r="A307" s="3">
        <v>44736</v>
      </c>
      <c r="B307" s="4" t="s">
        <v>10</v>
      </c>
      <c r="C307" s="4">
        <v>21.4</v>
      </c>
      <c r="D307" s="4">
        <v>12.8</v>
      </c>
      <c r="E307" s="4">
        <v>17.7</v>
      </c>
      <c r="F307" s="4">
        <v>17.7</v>
      </c>
      <c r="G307" s="4">
        <v>0.04</v>
      </c>
      <c r="H307" s="4" t="s">
        <v>11</v>
      </c>
      <c r="I307" s="4">
        <v>14.4</v>
      </c>
      <c r="J307" s="4">
        <v>6</v>
      </c>
      <c r="K307" s="5">
        <f t="shared" si="4"/>
        <v>1.016</v>
      </c>
    </row>
    <row r="308" spans="1:11" x14ac:dyDescent="0.2">
      <c r="A308" s="3">
        <v>44776</v>
      </c>
      <c r="B308" s="4" t="s">
        <v>10</v>
      </c>
      <c r="C308" s="4">
        <v>21.9</v>
      </c>
      <c r="D308" s="4">
        <v>15.3</v>
      </c>
      <c r="E308" s="4">
        <v>19.2</v>
      </c>
      <c r="F308" s="4">
        <v>19.2</v>
      </c>
      <c r="G308" s="4">
        <v>0.04</v>
      </c>
      <c r="H308" s="4" t="s">
        <v>11</v>
      </c>
      <c r="I308" s="4">
        <v>17.399999999999999</v>
      </c>
      <c r="J308" s="4">
        <v>7</v>
      </c>
      <c r="K308" s="5">
        <f t="shared" si="4"/>
        <v>1.016</v>
      </c>
    </row>
    <row r="309" spans="1:11" x14ac:dyDescent="0.2">
      <c r="A309" s="3">
        <v>45281</v>
      </c>
      <c r="B309" s="4" t="s">
        <v>10</v>
      </c>
      <c r="C309" s="4">
        <v>11.8</v>
      </c>
      <c r="D309" s="4">
        <v>7.7</v>
      </c>
      <c r="E309" s="4">
        <v>10.1</v>
      </c>
      <c r="F309" s="4">
        <v>8.4</v>
      </c>
      <c r="G309" s="4">
        <v>3.9E-2</v>
      </c>
      <c r="H309" s="4" t="s">
        <v>11</v>
      </c>
      <c r="I309" s="4">
        <v>31.9</v>
      </c>
      <c r="J309" s="4">
        <v>1</v>
      </c>
      <c r="K309" s="5">
        <f t="shared" si="4"/>
        <v>0.99059999999999993</v>
      </c>
    </row>
    <row r="310" spans="1:11" x14ac:dyDescent="0.2">
      <c r="A310" s="3">
        <v>44831</v>
      </c>
      <c r="B310" s="4" t="s">
        <v>10</v>
      </c>
      <c r="C310" s="4">
        <v>13</v>
      </c>
      <c r="D310" s="4">
        <v>4.2</v>
      </c>
      <c r="E310" s="4">
        <v>8.1</v>
      </c>
      <c r="F310" s="4">
        <v>6.4</v>
      </c>
      <c r="G310" s="4">
        <v>3.9E-2</v>
      </c>
      <c r="H310" s="4" t="s">
        <v>11</v>
      </c>
      <c r="I310" s="4">
        <v>15.3</v>
      </c>
      <c r="J310" s="4">
        <v>6</v>
      </c>
      <c r="K310" s="5">
        <f t="shared" si="4"/>
        <v>0.99059999999999993</v>
      </c>
    </row>
    <row r="311" spans="1:11" x14ac:dyDescent="0.2">
      <c r="A311" s="3">
        <v>45192</v>
      </c>
      <c r="B311" s="4" t="s">
        <v>10</v>
      </c>
      <c r="C311" s="4">
        <v>14.6</v>
      </c>
      <c r="D311" s="4">
        <v>10.3</v>
      </c>
      <c r="E311" s="4">
        <v>11.9</v>
      </c>
      <c r="F311" s="4">
        <v>11.9</v>
      </c>
      <c r="G311" s="4">
        <v>3.9E-2</v>
      </c>
      <c r="H311" s="4" t="s">
        <v>11</v>
      </c>
      <c r="I311" s="4">
        <v>9.3000000000000007</v>
      </c>
      <c r="J311" s="4">
        <v>6</v>
      </c>
      <c r="K311" s="5">
        <f t="shared" si="4"/>
        <v>0.99059999999999993</v>
      </c>
    </row>
    <row r="312" spans="1:11" x14ac:dyDescent="0.2">
      <c r="A312" s="3">
        <v>44707</v>
      </c>
      <c r="B312" s="4" t="s">
        <v>10</v>
      </c>
      <c r="C312" s="4">
        <v>16.899999999999999</v>
      </c>
      <c r="D312" s="4">
        <v>9.6999999999999993</v>
      </c>
      <c r="E312" s="4">
        <v>13.2</v>
      </c>
      <c r="F312" s="4">
        <v>13.1</v>
      </c>
      <c r="G312" s="4">
        <v>3.9E-2</v>
      </c>
      <c r="H312" s="4" t="s">
        <v>11</v>
      </c>
      <c r="I312" s="4">
        <v>20.6</v>
      </c>
      <c r="J312" s="4">
        <v>6</v>
      </c>
      <c r="K312" s="5">
        <f t="shared" si="4"/>
        <v>0.99059999999999993</v>
      </c>
    </row>
    <row r="313" spans="1:11" x14ac:dyDescent="0.2">
      <c r="A313" s="3">
        <v>44898</v>
      </c>
      <c r="B313" s="4" t="s">
        <v>10</v>
      </c>
      <c r="C313" s="4">
        <v>6.1</v>
      </c>
      <c r="D313" s="4">
        <v>2.7</v>
      </c>
      <c r="E313" s="4">
        <v>4.2</v>
      </c>
      <c r="F313" s="4">
        <v>1.3</v>
      </c>
      <c r="G313" s="4">
        <v>3.7999999999999999E-2</v>
      </c>
      <c r="H313" s="4" t="s">
        <v>11</v>
      </c>
      <c r="I313" s="4">
        <v>9.5</v>
      </c>
      <c r="J313" s="4">
        <v>1</v>
      </c>
      <c r="K313" s="5">
        <f t="shared" si="4"/>
        <v>0.96519999999999995</v>
      </c>
    </row>
    <row r="314" spans="1:11" x14ac:dyDescent="0.2">
      <c r="A314" s="3">
        <v>45107</v>
      </c>
      <c r="B314" s="4" t="s">
        <v>10</v>
      </c>
      <c r="C314" s="4">
        <v>16.600000000000001</v>
      </c>
      <c r="D314" s="4">
        <v>10.199999999999999</v>
      </c>
      <c r="E314" s="4">
        <v>13.9</v>
      </c>
      <c r="F314" s="4">
        <v>13.9</v>
      </c>
      <c r="G314" s="4">
        <v>3.7999999999999999E-2</v>
      </c>
      <c r="H314" s="4" t="s">
        <v>11</v>
      </c>
      <c r="I314" s="4">
        <v>15.8</v>
      </c>
      <c r="J314" s="4">
        <v>3</v>
      </c>
      <c r="K314" s="5">
        <f t="shared" si="4"/>
        <v>0.96519999999999995</v>
      </c>
    </row>
    <row r="315" spans="1:11" x14ac:dyDescent="0.2">
      <c r="A315" s="3">
        <v>44838</v>
      </c>
      <c r="B315" s="4" t="s">
        <v>10</v>
      </c>
      <c r="C315" s="4">
        <v>16.899999999999999</v>
      </c>
      <c r="D315" s="4">
        <v>12.4</v>
      </c>
      <c r="E315" s="4">
        <v>14.8</v>
      </c>
      <c r="F315" s="4">
        <v>14.8</v>
      </c>
      <c r="G315" s="4">
        <v>3.7999999999999999E-2</v>
      </c>
      <c r="H315" s="4" t="s">
        <v>11</v>
      </c>
      <c r="I315" s="4">
        <v>19.2</v>
      </c>
      <c r="J315" s="4">
        <v>2</v>
      </c>
      <c r="K315" s="5">
        <f t="shared" si="4"/>
        <v>0.96519999999999995</v>
      </c>
    </row>
    <row r="316" spans="1:11" x14ac:dyDescent="0.2">
      <c r="A316" s="3">
        <v>44981</v>
      </c>
      <c r="B316" s="4" t="s">
        <v>10</v>
      </c>
      <c r="C316" s="4">
        <v>8.4</v>
      </c>
      <c r="D316" s="4">
        <v>3.1</v>
      </c>
      <c r="E316" s="4">
        <v>6.1</v>
      </c>
      <c r="F316" s="4">
        <v>2.2999999999999998</v>
      </c>
      <c r="G316" s="4">
        <v>3.6999999999999998E-2</v>
      </c>
      <c r="H316" s="4" t="s">
        <v>11</v>
      </c>
      <c r="I316" s="4">
        <v>18.899999999999999</v>
      </c>
      <c r="J316" s="4">
        <v>4</v>
      </c>
      <c r="K316" s="5">
        <f t="shared" si="4"/>
        <v>0.93979999999999986</v>
      </c>
    </row>
    <row r="317" spans="1:11" x14ac:dyDescent="0.2">
      <c r="A317" s="3">
        <v>44744</v>
      </c>
      <c r="B317" s="4" t="s">
        <v>10</v>
      </c>
      <c r="C317" s="4">
        <v>18.399999999999999</v>
      </c>
      <c r="D317" s="4">
        <v>11.4</v>
      </c>
      <c r="E317" s="4">
        <v>14.8</v>
      </c>
      <c r="F317" s="4">
        <v>14.8</v>
      </c>
      <c r="G317" s="4">
        <v>3.6999999999999998E-2</v>
      </c>
      <c r="H317" s="4" t="s">
        <v>11</v>
      </c>
      <c r="I317" s="4">
        <v>13.4</v>
      </c>
      <c r="J317" s="4">
        <v>9</v>
      </c>
      <c r="K317" s="5">
        <f t="shared" si="4"/>
        <v>0.93979999999999986</v>
      </c>
    </row>
    <row r="318" spans="1:11" x14ac:dyDescent="0.2">
      <c r="A318" s="3">
        <v>44591</v>
      </c>
      <c r="B318" s="4" t="s">
        <v>10</v>
      </c>
      <c r="C318" s="4">
        <v>6.5</v>
      </c>
      <c r="D318" s="4">
        <v>-0.4</v>
      </c>
      <c r="E318" s="4">
        <v>3.8</v>
      </c>
      <c r="F318" s="4">
        <v>0.6</v>
      </c>
      <c r="G318" s="4">
        <v>3.5999999999999997E-2</v>
      </c>
      <c r="H318" s="4" t="s">
        <v>11</v>
      </c>
      <c r="I318" s="4">
        <v>22.8</v>
      </c>
      <c r="J318" s="4">
        <v>2</v>
      </c>
      <c r="K318" s="5">
        <f t="shared" si="4"/>
        <v>0.91439999999999988</v>
      </c>
    </row>
    <row r="319" spans="1:11" x14ac:dyDescent="0.2">
      <c r="A319" s="3">
        <v>44952</v>
      </c>
      <c r="B319" s="4" t="s">
        <v>10</v>
      </c>
      <c r="C319" s="4">
        <v>6.7</v>
      </c>
      <c r="D319" s="4">
        <v>1.7</v>
      </c>
      <c r="E319" s="4">
        <v>4.8</v>
      </c>
      <c r="F319" s="4">
        <v>1.2</v>
      </c>
      <c r="G319" s="4">
        <v>3.5000000000000003E-2</v>
      </c>
      <c r="H319" s="4" t="s">
        <v>11</v>
      </c>
      <c r="I319" s="4">
        <v>14.3</v>
      </c>
      <c r="J319" s="4">
        <v>3</v>
      </c>
      <c r="K319" s="5">
        <f t="shared" si="4"/>
        <v>0.88900000000000001</v>
      </c>
    </row>
    <row r="320" spans="1:11" x14ac:dyDescent="0.2">
      <c r="A320" s="3">
        <v>44609</v>
      </c>
      <c r="B320" s="4" t="s">
        <v>10</v>
      </c>
      <c r="C320" s="4">
        <v>7.5</v>
      </c>
      <c r="D320" s="4">
        <v>1.9</v>
      </c>
      <c r="E320" s="4">
        <v>5.3</v>
      </c>
      <c r="F320" s="4">
        <v>0.8</v>
      </c>
      <c r="G320" s="4">
        <v>3.5000000000000003E-2</v>
      </c>
      <c r="H320" s="4" t="s">
        <v>11</v>
      </c>
      <c r="I320" s="4">
        <v>25.5</v>
      </c>
      <c r="J320" s="4">
        <v>2</v>
      </c>
      <c r="K320" s="5">
        <f t="shared" si="4"/>
        <v>0.88900000000000001</v>
      </c>
    </row>
    <row r="321" spans="1:11" x14ac:dyDescent="0.2">
      <c r="A321" s="3">
        <v>44991</v>
      </c>
      <c r="B321" s="4" t="s">
        <v>10</v>
      </c>
      <c r="C321" s="4">
        <v>6.9</v>
      </c>
      <c r="D321" s="4">
        <v>1.3</v>
      </c>
      <c r="E321" s="4">
        <v>3.7</v>
      </c>
      <c r="F321" s="4">
        <v>1</v>
      </c>
      <c r="G321" s="4">
        <v>3.4000000000000002E-2</v>
      </c>
      <c r="H321" s="4" t="s">
        <v>12</v>
      </c>
      <c r="I321" s="4">
        <v>15.1</v>
      </c>
      <c r="J321" s="4">
        <v>3</v>
      </c>
      <c r="K321" s="5">
        <f t="shared" si="4"/>
        <v>0.86360000000000003</v>
      </c>
    </row>
    <row r="322" spans="1:11" x14ac:dyDescent="0.2">
      <c r="A322" s="3">
        <v>45252</v>
      </c>
      <c r="B322" s="4" t="s">
        <v>10</v>
      </c>
      <c r="C322" s="4">
        <v>11.9</v>
      </c>
      <c r="D322" s="4">
        <v>4.9000000000000004</v>
      </c>
      <c r="E322" s="4">
        <v>9.6</v>
      </c>
      <c r="F322" s="4">
        <v>8.3000000000000007</v>
      </c>
      <c r="G322" s="4">
        <v>3.4000000000000002E-2</v>
      </c>
      <c r="H322" s="4" t="s">
        <v>11</v>
      </c>
      <c r="I322" s="4">
        <v>19.899999999999999</v>
      </c>
      <c r="J322" s="4">
        <v>1</v>
      </c>
      <c r="K322" s="5">
        <f t="shared" ref="K322:K385" si="5">SUM(G322*25.4)</f>
        <v>0.86360000000000003</v>
      </c>
    </row>
    <row r="323" spans="1:11" x14ac:dyDescent="0.2">
      <c r="A323" s="3">
        <v>44902</v>
      </c>
      <c r="B323" s="4" t="s">
        <v>10</v>
      </c>
      <c r="C323" s="4">
        <v>3.3</v>
      </c>
      <c r="D323" s="4">
        <v>-1</v>
      </c>
      <c r="E323" s="4">
        <v>1.2</v>
      </c>
      <c r="F323" s="4">
        <v>-2.8</v>
      </c>
      <c r="G323" s="4">
        <v>3.3000000000000002E-2</v>
      </c>
      <c r="H323" s="4" t="s">
        <v>12</v>
      </c>
      <c r="I323" s="4">
        <v>12</v>
      </c>
      <c r="J323" s="4">
        <v>2</v>
      </c>
      <c r="K323" s="5">
        <f t="shared" si="5"/>
        <v>0.83819999999999995</v>
      </c>
    </row>
    <row r="324" spans="1:11" x14ac:dyDescent="0.2">
      <c r="A324" s="3">
        <v>44592</v>
      </c>
      <c r="B324" s="4" t="s">
        <v>10</v>
      </c>
      <c r="C324" s="4">
        <v>6.8</v>
      </c>
      <c r="D324" s="4">
        <v>3.1</v>
      </c>
      <c r="E324" s="4">
        <v>4.9000000000000004</v>
      </c>
      <c r="F324" s="4">
        <v>0.3</v>
      </c>
      <c r="G324" s="4">
        <v>3.3000000000000002E-2</v>
      </c>
      <c r="H324" s="4" t="s">
        <v>11</v>
      </c>
      <c r="I324" s="4">
        <v>30.4</v>
      </c>
      <c r="J324" s="4">
        <v>2</v>
      </c>
      <c r="K324" s="5">
        <f t="shared" si="5"/>
        <v>0.83819999999999995</v>
      </c>
    </row>
    <row r="325" spans="1:11" x14ac:dyDescent="0.2">
      <c r="A325" s="3">
        <v>44625</v>
      </c>
      <c r="B325" s="4" t="s">
        <v>10</v>
      </c>
      <c r="C325" s="4">
        <v>6.9</v>
      </c>
      <c r="D325" s="4">
        <v>3.1</v>
      </c>
      <c r="E325" s="4">
        <v>4.5999999999999996</v>
      </c>
      <c r="F325" s="4">
        <v>0.3</v>
      </c>
      <c r="G325" s="4">
        <v>3.3000000000000002E-2</v>
      </c>
      <c r="H325" s="4" t="s">
        <v>11</v>
      </c>
      <c r="I325" s="4">
        <v>21.5</v>
      </c>
      <c r="J325" s="4">
        <v>3</v>
      </c>
      <c r="K325" s="5">
        <f t="shared" si="5"/>
        <v>0.83819999999999995</v>
      </c>
    </row>
    <row r="326" spans="1:11" x14ac:dyDescent="0.2">
      <c r="A326" s="3">
        <v>44925</v>
      </c>
      <c r="B326" s="4" t="s">
        <v>10</v>
      </c>
      <c r="C326" s="4">
        <v>9.6</v>
      </c>
      <c r="D326" s="4">
        <v>3.6</v>
      </c>
      <c r="E326" s="4">
        <v>7.2</v>
      </c>
      <c r="F326" s="4">
        <v>2.9</v>
      </c>
      <c r="G326" s="4">
        <v>3.3000000000000002E-2</v>
      </c>
      <c r="H326" s="4" t="s">
        <v>11</v>
      </c>
      <c r="I326" s="4">
        <v>23.1</v>
      </c>
      <c r="J326" s="4">
        <v>1</v>
      </c>
      <c r="K326" s="5">
        <f t="shared" si="5"/>
        <v>0.83819999999999995</v>
      </c>
    </row>
    <row r="327" spans="1:11" x14ac:dyDescent="0.2">
      <c r="A327" s="3">
        <v>44890</v>
      </c>
      <c r="B327" s="4" t="s">
        <v>10</v>
      </c>
      <c r="C327" s="4">
        <v>10</v>
      </c>
      <c r="D327" s="4">
        <v>6.5</v>
      </c>
      <c r="E327" s="4">
        <v>8.1999999999999993</v>
      </c>
      <c r="F327" s="4">
        <v>5.0999999999999996</v>
      </c>
      <c r="G327" s="4">
        <v>3.3000000000000002E-2</v>
      </c>
      <c r="H327" s="4" t="s">
        <v>11</v>
      </c>
      <c r="I327" s="4">
        <v>16.100000000000001</v>
      </c>
      <c r="J327" s="4">
        <v>1</v>
      </c>
      <c r="K327" s="5">
        <f t="shared" si="5"/>
        <v>0.83819999999999995</v>
      </c>
    </row>
    <row r="328" spans="1:11" x14ac:dyDescent="0.2">
      <c r="A328" s="3">
        <v>44891</v>
      </c>
      <c r="B328" s="4" t="s">
        <v>10</v>
      </c>
      <c r="C328" s="4">
        <v>10.5</v>
      </c>
      <c r="D328" s="4">
        <v>7.3</v>
      </c>
      <c r="E328" s="4">
        <v>8.8000000000000007</v>
      </c>
      <c r="F328" s="4">
        <v>6.3</v>
      </c>
      <c r="G328" s="4">
        <v>3.3000000000000002E-2</v>
      </c>
      <c r="H328" s="4" t="s">
        <v>11</v>
      </c>
      <c r="I328" s="4">
        <v>20.6</v>
      </c>
      <c r="J328" s="4">
        <v>1</v>
      </c>
      <c r="K328" s="5">
        <f t="shared" si="5"/>
        <v>0.83819999999999995</v>
      </c>
    </row>
    <row r="329" spans="1:11" x14ac:dyDescent="0.2">
      <c r="A329" s="3">
        <v>44829</v>
      </c>
      <c r="B329" s="4" t="s">
        <v>10</v>
      </c>
      <c r="C329" s="4">
        <v>13.9</v>
      </c>
      <c r="D329" s="4">
        <v>6.5</v>
      </c>
      <c r="E329" s="4">
        <v>10.5</v>
      </c>
      <c r="F329" s="4">
        <v>10.199999999999999</v>
      </c>
      <c r="G329" s="4">
        <v>3.3000000000000002E-2</v>
      </c>
      <c r="H329" s="4" t="s">
        <v>11</v>
      </c>
      <c r="I329" s="4">
        <v>17.100000000000001</v>
      </c>
      <c r="J329" s="4">
        <v>3</v>
      </c>
      <c r="K329" s="5">
        <f t="shared" si="5"/>
        <v>0.83819999999999995</v>
      </c>
    </row>
    <row r="330" spans="1:11" x14ac:dyDescent="0.2">
      <c r="A330" s="3">
        <v>45156</v>
      </c>
      <c r="B330" s="4" t="s">
        <v>10</v>
      </c>
      <c r="C330" s="4">
        <v>17.100000000000001</v>
      </c>
      <c r="D330" s="4">
        <v>13.7</v>
      </c>
      <c r="E330" s="4">
        <v>15.4</v>
      </c>
      <c r="F330" s="4">
        <v>15.4</v>
      </c>
      <c r="G330" s="4">
        <v>3.3000000000000002E-2</v>
      </c>
      <c r="H330" s="4" t="s">
        <v>11</v>
      </c>
      <c r="I330" s="4">
        <v>15.3</v>
      </c>
      <c r="J330" s="4">
        <v>1</v>
      </c>
      <c r="K330" s="5">
        <f t="shared" si="5"/>
        <v>0.83819999999999995</v>
      </c>
    </row>
    <row r="331" spans="1:11" x14ac:dyDescent="0.2">
      <c r="A331" s="3">
        <v>45060</v>
      </c>
      <c r="B331" s="4" t="s">
        <v>10</v>
      </c>
      <c r="C331" s="4">
        <v>18.399999999999999</v>
      </c>
      <c r="D331" s="4">
        <v>7.6</v>
      </c>
      <c r="E331" s="4">
        <v>12.1</v>
      </c>
      <c r="F331" s="4">
        <v>11.4</v>
      </c>
      <c r="G331" s="4">
        <v>3.3000000000000002E-2</v>
      </c>
      <c r="H331" s="4" t="s">
        <v>11</v>
      </c>
      <c r="I331" s="4">
        <v>11</v>
      </c>
      <c r="J331" s="4">
        <v>9</v>
      </c>
      <c r="K331" s="5">
        <f t="shared" si="5"/>
        <v>0.83819999999999995</v>
      </c>
    </row>
    <row r="332" spans="1:11" x14ac:dyDescent="0.2">
      <c r="A332" s="3">
        <v>45004</v>
      </c>
      <c r="B332" s="4" t="s">
        <v>10</v>
      </c>
      <c r="C332" s="4">
        <v>10.8</v>
      </c>
      <c r="D332" s="4">
        <v>2.2999999999999998</v>
      </c>
      <c r="E332" s="4">
        <v>7.3</v>
      </c>
      <c r="F332" s="4">
        <v>5.6</v>
      </c>
      <c r="G332" s="4">
        <v>3.2000000000000001E-2</v>
      </c>
      <c r="H332" s="4" t="s">
        <v>11</v>
      </c>
      <c r="I332" s="4">
        <v>11.4</v>
      </c>
      <c r="J332" s="4">
        <v>7</v>
      </c>
      <c r="K332" s="5">
        <f t="shared" si="5"/>
        <v>0.81279999999999997</v>
      </c>
    </row>
    <row r="333" spans="1:11" x14ac:dyDescent="0.2">
      <c r="A333" s="3">
        <v>45217</v>
      </c>
      <c r="B333" s="4" t="s">
        <v>10</v>
      </c>
      <c r="C333" s="4">
        <v>13.7</v>
      </c>
      <c r="D333" s="4">
        <v>8.8000000000000007</v>
      </c>
      <c r="E333" s="4">
        <v>11.3</v>
      </c>
      <c r="F333" s="4">
        <v>10.4</v>
      </c>
      <c r="G333" s="4">
        <v>3.2000000000000001E-2</v>
      </c>
      <c r="H333" s="4" t="s">
        <v>11</v>
      </c>
      <c r="I333" s="4">
        <v>20.100000000000001</v>
      </c>
      <c r="J333" s="4">
        <v>5</v>
      </c>
      <c r="K333" s="5">
        <f t="shared" si="5"/>
        <v>0.81279999999999997</v>
      </c>
    </row>
    <row r="334" spans="1:11" x14ac:dyDescent="0.2">
      <c r="A334" s="3">
        <v>45162</v>
      </c>
      <c r="B334" s="4" t="s">
        <v>10</v>
      </c>
      <c r="C334" s="4">
        <v>20.2</v>
      </c>
      <c r="D334" s="4">
        <v>11.3</v>
      </c>
      <c r="E334" s="4">
        <v>16.399999999999999</v>
      </c>
      <c r="F334" s="4">
        <v>16.399999999999999</v>
      </c>
      <c r="G334" s="4">
        <v>3.2000000000000001E-2</v>
      </c>
      <c r="H334" s="4" t="s">
        <v>11</v>
      </c>
      <c r="I334" s="4">
        <v>11.3</v>
      </c>
      <c r="J334" s="4">
        <v>8</v>
      </c>
      <c r="K334" s="5">
        <f t="shared" si="5"/>
        <v>0.81279999999999997</v>
      </c>
    </row>
    <row r="335" spans="1:11" x14ac:dyDescent="0.2">
      <c r="A335" s="3">
        <v>44903</v>
      </c>
      <c r="B335" s="4" t="s">
        <v>10</v>
      </c>
      <c r="C335" s="4">
        <v>1.8</v>
      </c>
      <c r="D335" s="4">
        <v>-2.1</v>
      </c>
      <c r="E335" s="4">
        <v>0.3</v>
      </c>
      <c r="F335" s="4">
        <v>-3.7</v>
      </c>
      <c r="G335" s="4">
        <v>3.1E-2</v>
      </c>
      <c r="H335" s="4" t="s">
        <v>12</v>
      </c>
      <c r="I335" s="4">
        <v>9.9</v>
      </c>
      <c r="J335" s="4">
        <v>2</v>
      </c>
      <c r="K335" s="5">
        <f t="shared" si="5"/>
        <v>0.78739999999999999</v>
      </c>
    </row>
    <row r="336" spans="1:11" x14ac:dyDescent="0.2">
      <c r="A336" s="3">
        <v>44996</v>
      </c>
      <c r="B336" s="4" t="s">
        <v>10</v>
      </c>
      <c r="C336" s="4">
        <v>5.3</v>
      </c>
      <c r="D336" s="4">
        <v>-4.3</v>
      </c>
      <c r="E336" s="4">
        <v>0.8</v>
      </c>
      <c r="F336" s="4">
        <v>-2.2999999999999998</v>
      </c>
      <c r="G336" s="4">
        <v>3.1E-2</v>
      </c>
      <c r="H336" s="4" t="s">
        <v>12</v>
      </c>
      <c r="I336" s="4">
        <v>14.7</v>
      </c>
      <c r="J336" s="4">
        <v>6</v>
      </c>
      <c r="K336" s="5">
        <f t="shared" si="5"/>
        <v>0.78739999999999999</v>
      </c>
    </row>
    <row r="337" spans="1:11" x14ac:dyDescent="0.2">
      <c r="A337" s="3">
        <v>44828</v>
      </c>
      <c r="B337" s="4" t="s">
        <v>10</v>
      </c>
      <c r="C337" s="4">
        <v>13.9</v>
      </c>
      <c r="D337" s="4">
        <v>8</v>
      </c>
      <c r="E337" s="4">
        <v>10.7</v>
      </c>
      <c r="F337" s="4">
        <v>10.1</v>
      </c>
      <c r="G337" s="4">
        <v>3.1E-2</v>
      </c>
      <c r="H337" s="4" t="s">
        <v>11</v>
      </c>
      <c r="I337" s="4">
        <v>13.8</v>
      </c>
      <c r="J337" s="4">
        <v>4</v>
      </c>
      <c r="K337" s="5">
        <f t="shared" si="5"/>
        <v>0.78739999999999999</v>
      </c>
    </row>
    <row r="338" spans="1:11" x14ac:dyDescent="0.2">
      <c r="A338" s="3">
        <v>44765</v>
      </c>
      <c r="B338" s="4" t="s">
        <v>10</v>
      </c>
      <c r="C338" s="4">
        <v>20.6</v>
      </c>
      <c r="D338" s="4">
        <v>12</v>
      </c>
      <c r="E338" s="4">
        <v>17.2</v>
      </c>
      <c r="F338" s="4">
        <v>17.2</v>
      </c>
      <c r="G338" s="4">
        <v>3.1E-2</v>
      </c>
      <c r="H338" s="4" t="s">
        <v>11</v>
      </c>
      <c r="I338" s="4">
        <v>15.9</v>
      </c>
      <c r="J338" s="4">
        <v>6</v>
      </c>
      <c r="K338" s="5">
        <f t="shared" si="5"/>
        <v>0.78739999999999999</v>
      </c>
    </row>
    <row r="339" spans="1:11" x14ac:dyDescent="0.2">
      <c r="A339" s="3">
        <v>44935</v>
      </c>
      <c r="B339" s="4" t="s">
        <v>10</v>
      </c>
      <c r="C339" s="4">
        <v>7.3</v>
      </c>
      <c r="D339" s="4">
        <v>3.8</v>
      </c>
      <c r="E339" s="4">
        <v>5.7</v>
      </c>
      <c r="F339" s="4">
        <v>2.2999999999999998</v>
      </c>
      <c r="G339" s="4">
        <v>0.03</v>
      </c>
      <c r="H339" s="4" t="s">
        <v>11</v>
      </c>
      <c r="I339" s="4">
        <v>17.8</v>
      </c>
      <c r="J339" s="4">
        <v>3</v>
      </c>
      <c r="K339" s="5">
        <f t="shared" si="5"/>
        <v>0.7619999999999999</v>
      </c>
    </row>
    <row r="340" spans="1:11" x14ac:dyDescent="0.2">
      <c r="A340" s="3">
        <v>44979</v>
      </c>
      <c r="B340" s="4" t="s">
        <v>10</v>
      </c>
      <c r="C340" s="4">
        <v>7.8</v>
      </c>
      <c r="D340" s="4">
        <v>5.3</v>
      </c>
      <c r="E340" s="4">
        <v>6.3</v>
      </c>
      <c r="F340" s="4">
        <v>3.3</v>
      </c>
      <c r="G340" s="4">
        <v>0.03</v>
      </c>
      <c r="H340" s="4" t="s">
        <v>11</v>
      </c>
      <c r="I340" s="4">
        <v>15.5</v>
      </c>
      <c r="J340" s="4">
        <v>2</v>
      </c>
      <c r="K340" s="5">
        <f t="shared" si="5"/>
        <v>0.7619999999999999</v>
      </c>
    </row>
    <row r="341" spans="1:11" x14ac:dyDescent="0.2">
      <c r="A341" s="3">
        <v>45009</v>
      </c>
      <c r="B341" s="4" t="s">
        <v>10</v>
      </c>
      <c r="C341" s="4">
        <v>13.2</v>
      </c>
      <c r="D341" s="4">
        <v>6.6</v>
      </c>
      <c r="E341" s="4">
        <v>9.3000000000000007</v>
      </c>
      <c r="F341" s="4">
        <v>7.1</v>
      </c>
      <c r="G341" s="4">
        <v>0.03</v>
      </c>
      <c r="H341" s="4" t="s">
        <v>11</v>
      </c>
      <c r="I341" s="4">
        <v>23</v>
      </c>
      <c r="J341" s="4">
        <v>5</v>
      </c>
      <c r="K341" s="5">
        <f t="shared" si="5"/>
        <v>0.7619999999999999</v>
      </c>
    </row>
    <row r="342" spans="1:11" x14ac:dyDescent="0.2">
      <c r="A342" s="3">
        <v>44713</v>
      </c>
      <c r="B342" s="4" t="s">
        <v>10</v>
      </c>
      <c r="C342" s="4">
        <v>14.4</v>
      </c>
      <c r="D342" s="4">
        <v>7.8</v>
      </c>
      <c r="E342" s="4">
        <v>11</v>
      </c>
      <c r="F342" s="4">
        <v>10.6</v>
      </c>
      <c r="G342" s="4">
        <v>0.03</v>
      </c>
      <c r="H342" s="4" t="s">
        <v>11</v>
      </c>
      <c r="I342" s="4">
        <v>8.5</v>
      </c>
      <c r="J342" s="4">
        <v>6</v>
      </c>
      <c r="K342" s="5">
        <f t="shared" si="5"/>
        <v>0.7619999999999999</v>
      </c>
    </row>
    <row r="343" spans="1:11" x14ac:dyDescent="0.2">
      <c r="A343" s="3">
        <v>45197</v>
      </c>
      <c r="B343" s="4" t="s">
        <v>10</v>
      </c>
      <c r="C343" s="4">
        <v>16</v>
      </c>
      <c r="D343" s="4">
        <v>13.6</v>
      </c>
      <c r="E343" s="4">
        <v>14.7</v>
      </c>
      <c r="F343" s="4">
        <v>14.7</v>
      </c>
      <c r="G343" s="4">
        <v>0.03</v>
      </c>
      <c r="H343" s="4" t="s">
        <v>11</v>
      </c>
      <c r="I343" s="4">
        <v>22.1</v>
      </c>
      <c r="J343" s="4">
        <v>3</v>
      </c>
      <c r="K343" s="5">
        <f t="shared" si="5"/>
        <v>0.7619999999999999</v>
      </c>
    </row>
    <row r="344" spans="1:11" x14ac:dyDescent="0.2">
      <c r="A344" s="3">
        <v>44763</v>
      </c>
      <c r="B344" s="4" t="s">
        <v>10</v>
      </c>
      <c r="C344" s="4">
        <v>17.8</v>
      </c>
      <c r="D344" s="4">
        <v>14.6</v>
      </c>
      <c r="E344" s="4">
        <v>16.3</v>
      </c>
      <c r="F344" s="4">
        <v>16.3</v>
      </c>
      <c r="G344" s="4">
        <v>0.03</v>
      </c>
      <c r="H344" s="4" t="s">
        <v>11</v>
      </c>
      <c r="I344" s="4">
        <v>6.7</v>
      </c>
      <c r="J344" s="4">
        <v>2</v>
      </c>
      <c r="K344" s="5">
        <f t="shared" si="5"/>
        <v>0.7619999999999999</v>
      </c>
    </row>
    <row r="345" spans="1:11" x14ac:dyDescent="0.2">
      <c r="A345" s="3">
        <v>45194</v>
      </c>
      <c r="B345" s="4" t="s">
        <v>10</v>
      </c>
      <c r="C345" s="4">
        <v>18.8</v>
      </c>
      <c r="D345" s="4">
        <v>13</v>
      </c>
      <c r="E345" s="4">
        <v>15.8</v>
      </c>
      <c r="F345" s="4">
        <v>15.8</v>
      </c>
      <c r="G345" s="4">
        <v>0.03</v>
      </c>
      <c r="H345" s="4" t="s">
        <v>11</v>
      </c>
      <c r="I345" s="4">
        <v>20.399999999999999</v>
      </c>
      <c r="J345" s="4">
        <v>5</v>
      </c>
      <c r="K345" s="5">
        <f t="shared" si="5"/>
        <v>0.7619999999999999</v>
      </c>
    </row>
    <row r="346" spans="1:11" x14ac:dyDescent="0.2">
      <c r="A346" s="3">
        <v>44600</v>
      </c>
      <c r="B346" s="4" t="s">
        <v>10</v>
      </c>
      <c r="C346" s="4">
        <v>11.8</v>
      </c>
      <c r="D346" s="4">
        <v>9.1999999999999993</v>
      </c>
      <c r="E346" s="4">
        <v>10.4</v>
      </c>
      <c r="F346" s="4">
        <v>9.6</v>
      </c>
      <c r="G346" s="4">
        <v>2.9000000000000001E-2</v>
      </c>
      <c r="H346" s="4" t="s">
        <v>11</v>
      </c>
      <c r="I346" s="4">
        <v>22.1</v>
      </c>
      <c r="J346" s="4">
        <v>1</v>
      </c>
      <c r="K346" s="5">
        <f t="shared" si="5"/>
        <v>0.73660000000000003</v>
      </c>
    </row>
    <row r="347" spans="1:11" x14ac:dyDescent="0.2">
      <c r="A347" s="3">
        <v>45274</v>
      </c>
      <c r="B347" s="4" t="s">
        <v>10</v>
      </c>
      <c r="C347" s="4">
        <v>6.8</v>
      </c>
      <c r="D347" s="4">
        <v>-0.2</v>
      </c>
      <c r="E347" s="4">
        <v>3.7</v>
      </c>
      <c r="F347" s="4">
        <v>0.9</v>
      </c>
      <c r="G347" s="4">
        <v>2.8000000000000001E-2</v>
      </c>
      <c r="H347" s="4" t="s">
        <v>12</v>
      </c>
      <c r="I347" s="4">
        <v>10.199999999999999</v>
      </c>
      <c r="J347" s="4">
        <v>2</v>
      </c>
      <c r="K347" s="5">
        <f t="shared" si="5"/>
        <v>0.71119999999999994</v>
      </c>
    </row>
    <row r="348" spans="1:11" x14ac:dyDescent="0.2">
      <c r="A348" s="3">
        <v>44632</v>
      </c>
      <c r="B348" s="4" t="s">
        <v>10</v>
      </c>
      <c r="C348" s="4">
        <v>11.6</v>
      </c>
      <c r="D348" s="4">
        <v>6.8</v>
      </c>
      <c r="E348" s="4">
        <v>8.8000000000000007</v>
      </c>
      <c r="F348" s="4">
        <v>6.2</v>
      </c>
      <c r="G348" s="4">
        <v>2.8000000000000001E-2</v>
      </c>
      <c r="H348" s="4" t="s">
        <v>11</v>
      </c>
      <c r="I348" s="4">
        <v>20</v>
      </c>
      <c r="J348" s="4">
        <v>4</v>
      </c>
      <c r="K348" s="5">
        <f t="shared" si="5"/>
        <v>0.71119999999999994</v>
      </c>
    </row>
    <row r="349" spans="1:11" x14ac:dyDescent="0.2">
      <c r="A349" s="3">
        <v>44974</v>
      </c>
      <c r="B349" s="4" t="s">
        <v>10</v>
      </c>
      <c r="C349" s="4">
        <v>12.7</v>
      </c>
      <c r="D349" s="4">
        <v>7.2</v>
      </c>
      <c r="E349" s="4">
        <v>10.6</v>
      </c>
      <c r="F349" s="4">
        <v>9.9</v>
      </c>
      <c r="G349" s="4">
        <v>2.8000000000000001E-2</v>
      </c>
      <c r="H349" s="4" t="s">
        <v>11</v>
      </c>
      <c r="I349" s="4">
        <v>32.799999999999997</v>
      </c>
      <c r="J349" s="4">
        <v>4</v>
      </c>
      <c r="K349" s="5">
        <f t="shared" si="5"/>
        <v>0.71119999999999994</v>
      </c>
    </row>
    <row r="350" spans="1:11" x14ac:dyDescent="0.2">
      <c r="A350" s="3">
        <v>44843</v>
      </c>
      <c r="B350" s="4" t="s">
        <v>10</v>
      </c>
      <c r="C350" s="4">
        <v>15.2</v>
      </c>
      <c r="D350" s="4">
        <v>5.4</v>
      </c>
      <c r="E350" s="4">
        <v>10.1</v>
      </c>
      <c r="F350" s="4">
        <v>8.9</v>
      </c>
      <c r="G350" s="4">
        <v>2.8000000000000001E-2</v>
      </c>
      <c r="H350" s="4" t="s">
        <v>11</v>
      </c>
      <c r="I350" s="4">
        <v>19.7</v>
      </c>
      <c r="J350" s="4">
        <v>4</v>
      </c>
      <c r="K350" s="5">
        <f t="shared" si="5"/>
        <v>0.71119999999999994</v>
      </c>
    </row>
    <row r="351" spans="1:11" x14ac:dyDescent="0.2">
      <c r="A351" s="3">
        <v>44702</v>
      </c>
      <c r="B351" s="4" t="s">
        <v>10</v>
      </c>
      <c r="C351" s="4">
        <v>16</v>
      </c>
      <c r="D351" s="4">
        <v>8.9</v>
      </c>
      <c r="E351" s="4">
        <v>12.6</v>
      </c>
      <c r="F351" s="4">
        <v>12.1</v>
      </c>
      <c r="G351" s="4">
        <v>2.8000000000000001E-2</v>
      </c>
      <c r="H351" s="4" t="s">
        <v>11</v>
      </c>
      <c r="I351" s="4">
        <v>12.4</v>
      </c>
      <c r="J351" s="4">
        <v>7</v>
      </c>
      <c r="K351" s="5">
        <f t="shared" si="5"/>
        <v>0.71119999999999994</v>
      </c>
    </row>
    <row r="352" spans="1:11" x14ac:dyDescent="0.2">
      <c r="A352" s="3">
        <v>45237</v>
      </c>
      <c r="B352" s="4" t="s">
        <v>10</v>
      </c>
      <c r="C352" s="4">
        <v>10.9</v>
      </c>
      <c r="D352" s="4">
        <v>6.4</v>
      </c>
      <c r="E352" s="4">
        <v>8.1999999999999993</v>
      </c>
      <c r="F352" s="4">
        <v>6.1</v>
      </c>
      <c r="G352" s="4">
        <v>2.7E-2</v>
      </c>
      <c r="H352" s="4" t="s">
        <v>11</v>
      </c>
      <c r="I352" s="4">
        <v>14.7</v>
      </c>
      <c r="J352" s="4">
        <v>4</v>
      </c>
      <c r="K352" s="5">
        <f t="shared" si="5"/>
        <v>0.68579999999999997</v>
      </c>
    </row>
    <row r="353" spans="1:11" x14ac:dyDescent="0.2">
      <c r="A353" s="3">
        <v>45260</v>
      </c>
      <c r="B353" s="4" t="s">
        <v>10</v>
      </c>
      <c r="C353" s="4">
        <v>1.9</v>
      </c>
      <c r="D353" s="4">
        <v>-0.8</v>
      </c>
      <c r="E353" s="4">
        <v>0.2</v>
      </c>
      <c r="F353" s="4">
        <v>-3.2</v>
      </c>
      <c r="G353" s="4">
        <v>2.5999999999999999E-2</v>
      </c>
      <c r="H353" s="4" t="s">
        <v>12</v>
      </c>
      <c r="I353" s="4">
        <v>8.8000000000000007</v>
      </c>
      <c r="J353" s="4">
        <v>3</v>
      </c>
      <c r="K353" s="5">
        <f t="shared" si="5"/>
        <v>0.66039999999999999</v>
      </c>
    </row>
    <row r="354" spans="1:11" x14ac:dyDescent="0.2">
      <c r="A354" s="3">
        <v>45268</v>
      </c>
      <c r="B354" s="4" t="s">
        <v>10</v>
      </c>
      <c r="C354" s="4">
        <v>7.5</v>
      </c>
      <c r="D354" s="4">
        <v>5.0999999999999996</v>
      </c>
      <c r="E354" s="4">
        <v>6.4</v>
      </c>
      <c r="F354" s="4">
        <v>3.2</v>
      </c>
      <c r="G354" s="4">
        <v>2.5999999999999999E-2</v>
      </c>
      <c r="H354" s="4" t="s">
        <v>11</v>
      </c>
      <c r="I354" s="4">
        <v>13.2</v>
      </c>
      <c r="J354" s="4">
        <v>1</v>
      </c>
      <c r="K354" s="5">
        <f t="shared" si="5"/>
        <v>0.66039999999999999</v>
      </c>
    </row>
    <row r="355" spans="1:11" x14ac:dyDescent="0.2">
      <c r="A355" s="3">
        <v>45050</v>
      </c>
      <c r="B355" s="4" t="s">
        <v>10</v>
      </c>
      <c r="C355" s="4">
        <v>11</v>
      </c>
      <c r="D355" s="4">
        <v>5.8</v>
      </c>
      <c r="E355" s="4">
        <v>8.3000000000000007</v>
      </c>
      <c r="F355" s="4">
        <v>6</v>
      </c>
      <c r="G355" s="4">
        <v>2.5999999999999999E-2</v>
      </c>
      <c r="H355" s="4" t="s">
        <v>11</v>
      </c>
      <c r="I355" s="4">
        <v>18</v>
      </c>
      <c r="J355" s="4">
        <v>7</v>
      </c>
      <c r="K355" s="5">
        <f t="shared" si="5"/>
        <v>0.66039999999999999</v>
      </c>
    </row>
    <row r="356" spans="1:11" x14ac:dyDescent="0.2">
      <c r="A356" s="3">
        <v>44662</v>
      </c>
      <c r="B356" s="4" t="s">
        <v>10</v>
      </c>
      <c r="C356" s="4">
        <v>12.4</v>
      </c>
      <c r="D356" s="4">
        <v>4.7</v>
      </c>
      <c r="E356" s="4">
        <v>8.3000000000000007</v>
      </c>
      <c r="F356" s="4">
        <v>6.6</v>
      </c>
      <c r="G356" s="4">
        <v>2.5999999999999999E-2</v>
      </c>
      <c r="H356" s="4" t="s">
        <v>11</v>
      </c>
      <c r="I356" s="4">
        <v>19.3</v>
      </c>
      <c r="J356" s="4">
        <v>5</v>
      </c>
      <c r="K356" s="5">
        <f t="shared" si="5"/>
        <v>0.66039999999999999</v>
      </c>
    </row>
    <row r="357" spans="1:11" x14ac:dyDescent="0.2">
      <c r="A357" s="3">
        <v>44669</v>
      </c>
      <c r="B357" s="4" t="s">
        <v>10</v>
      </c>
      <c r="C357" s="4">
        <v>13.7</v>
      </c>
      <c r="D357" s="4">
        <v>7.6</v>
      </c>
      <c r="E357" s="4">
        <v>10.5</v>
      </c>
      <c r="F357" s="4">
        <v>9.9</v>
      </c>
      <c r="G357" s="4">
        <v>2.5999999999999999E-2</v>
      </c>
      <c r="H357" s="4" t="s">
        <v>11</v>
      </c>
      <c r="I357" s="4">
        <v>12.1</v>
      </c>
      <c r="J357" s="4">
        <v>6</v>
      </c>
      <c r="K357" s="5">
        <f t="shared" si="5"/>
        <v>0.66039999999999999</v>
      </c>
    </row>
    <row r="358" spans="1:11" x14ac:dyDescent="0.2">
      <c r="A358" s="3">
        <v>45258</v>
      </c>
      <c r="B358" s="4" t="s">
        <v>10</v>
      </c>
      <c r="C358" s="4">
        <v>4.8</v>
      </c>
      <c r="D358" s="4">
        <v>0.4</v>
      </c>
      <c r="E358" s="4">
        <v>2.8</v>
      </c>
      <c r="F358" s="4">
        <v>-0.4</v>
      </c>
      <c r="G358" s="4">
        <v>2.5000000000000001E-2</v>
      </c>
      <c r="H358" s="4" t="s">
        <v>12</v>
      </c>
      <c r="I358" s="4">
        <v>10.5</v>
      </c>
      <c r="J358" s="4">
        <v>2</v>
      </c>
      <c r="K358" s="5">
        <f t="shared" si="5"/>
        <v>0.63500000000000001</v>
      </c>
    </row>
    <row r="359" spans="1:11" x14ac:dyDescent="0.2">
      <c r="A359" s="3">
        <v>44982</v>
      </c>
      <c r="B359" s="4" t="s">
        <v>10</v>
      </c>
      <c r="C359" s="4">
        <v>5.8</v>
      </c>
      <c r="D359" s="4">
        <v>2.8</v>
      </c>
      <c r="E359" s="4">
        <v>3.8</v>
      </c>
      <c r="F359" s="4">
        <v>-0.3</v>
      </c>
      <c r="G359" s="4">
        <v>2.5000000000000001E-2</v>
      </c>
      <c r="H359" s="4" t="s">
        <v>11</v>
      </c>
      <c r="I359" s="4">
        <v>15</v>
      </c>
      <c r="J359" s="4">
        <v>2</v>
      </c>
      <c r="K359" s="5">
        <f t="shared" si="5"/>
        <v>0.63500000000000001</v>
      </c>
    </row>
    <row r="360" spans="1:11" x14ac:dyDescent="0.2">
      <c r="A360" s="3">
        <v>44688</v>
      </c>
      <c r="B360" s="4" t="s">
        <v>10</v>
      </c>
      <c r="C360" s="4">
        <v>13.1</v>
      </c>
      <c r="D360" s="4">
        <v>6.7</v>
      </c>
      <c r="E360" s="4">
        <v>10.3</v>
      </c>
      <c r="F360" s="4">
        <v>9.6</v>
      </c>
      <c r="G360" s="4">
        <v>2.5000000000000001E-2</v>
      </c>
      <c r="H360" s="4" t="s">
        <v>11</v>
      </c>
      <c r="I360" s="4">
        <v>11.1</v>
      </c>
      <c r="J360" s="4">
        <v>8</v>
      </c>
      <c r="K360" s="5">
        <f t="shared" si="5"/>
        <v>0.63500000000000001</v>
      </c>
    </row>
    <row r="361" spans="1:11" x14ac:dyDescent="0.2">
      <c r="A361" s="3">
        <v>44686</v>
      </c>
      <c r="B361" s="4" t="s">
        <v>10</v>
      </c>
      <c r="C361" s="4">
        <v>17.2</v>
      </c>
      <c r="D361" s="4">
        <v>5.7</v>
      </c>
      <c r="E361" s="4">
        <v>11.7</v>
      </c>
      <c r="F361" s="4">
        <v>10.9</v>
      </c>
      <c r="G361" s="4">
        <v>2.5000000000000001E-2</v>
      </c>
      <c r="H361" s="4" t="s">
        <v>11</v>
      </c>
      <c r="I361" s="4">
        <v>10</v>
      </c>
      <c r="J361" s="4">
        <v>8</v>
      </c>
      <c r="K361" s="5">
        <f t="shared" si="5"/>
        <v>0.63500000000000001</v>
      </c>
    </row>
    <row r="362" spans="1:11" x14ac:dyDescent="0.2">
      <c r="A362" s="3">
        <v>45108</v>
      </c>
      <c r="B362" s="4" t="s">
        <v>10</v>
      </c>
      <c r="C362" s="4">
        <v>17.899999999999999</v>
      </c>
      <c r="D362" s="4">
        <v>12.7</v>
      </c>
      <c r="E362" s="4">
        <v>15.8</v>
      </c>
      <c r="F362" s="4">
        <v>15.8</v>
      </c>
      <c r="G362" s="4">
        <v>2.5000000000000001E-2</v>
      </c>
      <c r="H362" s="4" t="s">
        <v>11</v>
      </c>
      <c r="I362" s="4">
        <v>19.899999999999999</v>
      </c>
      <c r="J362" s="4">
        <v>7</v>
      </c>
      <c r="K362" s="5">
        <f t="shared" si="5"/>
        <v>0.63500000000000001</v>
      </c>
    </row>
    <row r="363" spans="1:11" x14ac:dyDescent="0.2">
      <c r="A363" s="3">
        <v>44951</v>
      </c>
      <c r="B363" s="4" t="s">
        <v>10</v>
      </c>
      <c r="C363" s="4">
        <v>9</v>
      </c>
      <c r="D363" s="4">
        <v>1.8</v>
      </c>
      <c r="E363" s="4">
        <v>4.8</v>
      </c>
      <c r="F363" s="4">
        <v>1.9</v>
      </c>
      <c r="G363" s="4">
        <v>2.4E-2</v>
      </c>
      <c r="H363" s="4" t="s">
        <v>11</v>
      </c>
      <c r="I363" s="4">
        <v>12.1</v>
      </c>
      <c r="J363" s="4">
        <v>1</v>
      </c>
      <c r="K363" s="5">
        <f t="shared" si="5"/>
        <v>0.60960000000000003</v>
      </c>
    </row>
    <row r="364" spans="1:11" x14ac:dyDescent="0.2">
      <c r="A364" s="3">
        <v>44617</v>
      </c>
      <c r="B364" s="4" t="s">
        <v>10</v>
      </c>
      <c r="C364" s="4">
        <v>9.1999999999999993</v>
      </c>
      <c r="D364" s="4">
        <v>2</v>
      </c>
      <c r="E364" s="4">
        <v>5</v>
      </c>
      <c r="F364" s="4">
        <v>1.2</v>
      </c>
      <c r="G364" s="4">
        <v>2.4E-2</v>
      </c>
      <c r="H364" s="4" t="s">
        <v>11</v>
      </c>
      <c r="I364" s="4">
        <v>18.7</v>
      </c>
      <c r="J364" s="4">
        <v>4</v>
      </c>
      <c r="K364" s="5">
        <f t="shared" si="5"/>
        <v>0.60960000000000003</v>
      </c>
    </row>
    <row r="365" spans="1:11" x14ac:dyDescent="0.2">
      <c r="A365" s="3">
        <v>44748</v>
      </c>
      <c r="B365" s="4" t="s">
        <v>10</v>
      </c>
      <c r="C365" s="4">
        <v>18.7</v>
      </c>
      <c r="D365" s="4">
        <v>13</v>
      </c>
      <c r="E365" s="4">
        <v>16.2</v>
      </c>
      <c r="F365" s="4">
        <v>16.2</v>
      </c>
      <c r="G365" s="4">
        <v>2.4E-2</v>
      </c>
      <c r="H365" s="4" t="s">
        <v>11</v>
      </c>
      <c r="I365" s="4">
        <v>18.5</v>
      </c>
      <c r="J365" s="4">
        <v>4</v>
      </c>
      <c r="K365" s="5">
        <f t="shared" si="5"/>
        <v>0.60960000000000003</v>
      </c>
    </row>
    <row r="366" spans="1:11" x14ac:dyDescent="0.2">
      <c r="A366" s="3">
        <v>44983</v>
      </c>
      <c r="B366" s="4" t="s">
        <v>10</v>
      </c>
      <c r="C366" s="4">
        <v>6.6</v>
      </c>
      <c r="D366" s="4">
        <v>2.6</v>
      </c>
      <c r="E366" s="4">
        <v>4.2</v>
      </c>
      <c r="F366" s="4">
        <v>1.1000000000000001</v>
      </c>
      <c r="G366" s="4">
        <v>2.3E-2</v>
      </c>
      <c r="H366" s="4" t="s">
        <v>11</v>
      </c>
      <c r="I366" s="4">
        <v>12.3</v>
      </c>
      <c r="J366" s="4">
        <v>2</v>
      </c>
      <c r="K366" s="5">
        <f t="shared" si="5"/>
        <v>0.58419999999999994</v>
      </c>
    </row>
    <row r="367" spans="1:11" x14ac:dyDescent="0.2">
      <c r="A367" s="3">
        <v>45185</v>
      </c>
      <c r="B367" s="4" t="s">
        <v>10</v>
      </c>
      <c r="C367" s="4">
        <v>15.3</v>
      </c>
      <c r="D367" s="4">
        <v>12.4</v>
      </c>
      <c r="E367" s="4">
        <v>13.9</v>
      </c>
      <c r="F367" s="4">
        <v>13.9</v>
      </c>
      <c r="G367" s="4">
        <v>2.3E-2</v>
      </c>
      <c r="H367" s="4" t="s">
        <v>11</v>
      </c>
      <c r="I367" s="4">
        <v>14</v>
      </c>
      <c r="J367" s="4">
        <v>2</v>
      </c>
      <c r="K367" s="5">
        <f t="shared" si="5"/>
        <v>0.58419999999999994</v>
      </c>
    </row>
    <row r="368" spans="1:11" x14ac:dyDescent="0.2">
      <c r="A368" s="3">
        <v>44757</v>
      </c>
      <c r="B368" s="4" t="s">
        <v>10</v>
      </c>
      <c r="C368" s="4">
        <v>19.899999999999999</v>
      </c>
      <c r="D368" s="4">
        <v>11.6</v>
      </c>
      <c r="E368" s="4">
        <v>15.6</v>
      </c>
      <c r="F368" s="4">
        <v>15.6</v>
      </c>
      <c r="G368" s="4">
        <v>2.3E-2</v>
      </c>
      <c r="H368" s="4" t="s">
        <v>11</v>
      </c>
      <c r="I368" s="4">
        <v>16.899999999999999</v>
      </c>
      <c r="J368" s="4">
        <v>8</v>
      </c>
      <c r="K368" s="5">
        <f t="shared" si="5"/>
        <v>0.58419999999999994</v>
      </c>
    </row>
    <row r="369" spans="1:11" x14ac:dyDescent="0.2">
      <c r="A369" s="3">
        <v>44572</v>
      </c>
      <c r="B369" s="4" t="s">
        <v>10</v>
      </c>
      <c r="C369" s="4">
        <v>7.7</v>
      </c>
      <c r="D369" s="4">
        <v>0.1</v>
      </c>
      <c r="E369" s="4">
        <v>5.0999999999999996</v>
      </c>
      <c r="F369" s="4">
        <v>3.3</v>
      </c>
      <c r="G369" s="4">
        <v>2.1000000000000001E-2</v>
      </c>
      <c r="H369" s="4" t="s">
        <v>11</v>
      </c>
      <c r="I369" s="4">
        <v>9.8000000000000007</v>
      </c>
      <c r="J369" s="4">
        <v>1</v>
      </c>
      <c r="K369" s="5">
        <f t="shared" si="5"/>
        <v>0.53339999999999999</v>
      </c>
    </row>
    <row r="370" spans="1:11" x14ac:dyDescent="0.2">
      <c r="A370" s="3">
        <v>44564</v>
      </c>
      <c r="B370" s="4" t="s">
        <v>10</v>
      </c>
      <c r="C370" s="4">
        <v>9.4</v>
      </c>
      <c r="D370" s="4">
        <v>2.1</v>
      </c>
      <c r="E370" s="4">
        <v>7.7</v>
      </c>
      <c r="F370" s="4">
        <v>4</v>
      </c>
      <c r="G370" s="4">
        <v>2.1000000000000001E-2</v>
      </c>
      <c r="H370" s="4" t="s">
        <v>11</v>
      </c>
      <c r="I370" s="4">
        <v>22.4</v>
      </c>
      <c r="J370" s="4">
        <v>1</v>
      </c>
      <c r="K370" s="5">
        <f t="shared" si="5"/>
        <v>0.53339999999999999</v>
      </c>
    </row>
    <row r="371" spans="1:11" x14ac:dyDescent="0.2">
      <c r="A371" s="3">
        <v>44692</v>
      </c>
      <c r="B371" s="4" t="s">
        <v>10</v>
      </c>
      <c r="C371" s="4">
        <v>14.1</v>
      </c>
      <c r="D371" s="4">
        <v>9</v>
      </c>
      <c r="E371" s="4">
        <v>11.9</v>
      </c>
      <c r="F371" s="4">
        <v>11.7</v>
      </c>
      <c r="G371" s="4">
        <v>2.1000000000000001E-2</v>
      </c>
      <c r="H371" s="4" t="s">
        <v>11</v>
      </c>
      <c r="I371" s="4">
        <v>16.100000000000001</v>
      </c>
      <c r="J371" s="4">
        <v>8</v>
      </c>
      <c r="K371" s="5">
        <f t="shared" si="5"/>
        <v>0.53339999999999999</v>
      </c>
    </row>
    <row r="372" spans="1:11" x14ac:dyDescent="0.2">
      <c r="A372" s="3">
        <v>44684</v>
      </c>
      <c r="B372" s="4" t="s">
        <v>10</v>
      </c>
      <c r="C372" s="4">
        <v>11.7</v>
      </c>
      <c r="D372" s="4">
        <v>7.2</v>
      </c>
      <c r="E372" s="4">
        <v>9.1999999999999993</v>
      </c>
      <c r="F372" s="4">
        <v>8.5</v>
      </c>
      <c r="G372" s="4">
        <v>0.02</v>
      </c>
      <c r="H372" s="4" t="s">
        <v>11</v>
      </c>
      <c r="I372" s="4">
        <v>8.3000000000000007</v>
      </c>
      <c r="J372" s="4">
        <v>3</v>
      </c>
      <c r="K372" s="5">
        <f t="shared" si="5"/>
        <v>0.50800000000000001</v>
      </c>
    </row>
    <row r="373" spans="1:11" x14ac:dyDescent="0.2">
      <c r="A373" s="3">
        <v>44778</v>
      </c>
      <c r="B373" s="4" t="s">
        <v>10</v>
      </c>
      <c r="C373" s="4">
        <v>17.2</v>
      </c>
      <c r="D373" s="4">
        <v>10</v>
      </c>
      <c r="E373" s="4">
        <v>13.5</v>
      </c>
      <c r="F373" s="4">
        <v>13.4</v>
      </c>
      <c r="G373" s="4">
        <v>0.02</v>
      </c>
      <c r="H373" s="4" t="s">
        <v>11</v>
      </c>
      <c r="I373" s="4">
        <v>14</v>
      </c>
      <c r="J373" s="4">
        <v>9</v>
      </c>
      <c r="K373" s="5">
        <f t="shared" si="5"/>
        <v>0.50800000000000001</v>
      </c>
    </row>
    <row r="374" spans="1:11" x14ac:dyDescent="0.2">
      <c r="A374" s="3">
        <v>44788</v>
      </c>
      <c r="B374" s="4" t="s">
        <v>10</v>
      </c>
      <c r="C374" s="4">
        <v>24.3</v>
      </c>
      <c r="D374" s="4">
        <v>15.2</v>
      </c>
      <c r="E374" s="4">
        <v>19.100000000000001</v>
      </c>
      <c r="F374" s="4">
        <v>19.100000000000001</v>
      </c>
      <c r="G374" s="4">
        <v>0.02</v>
      </c>
      <c r="H374" s="4" t="s">
        <v>11</v>
      </c>
      <c r="I374" s="4">
        <v>9.6999999999999993</v>
      </c>
      <c r="J374" s="4">
        <v>7</v>
      </c>
      <c r="K374" s="5">
        <f t="shared" si="5"/>
        <v>0.50800000000000001</v>
      </c>
    </row>
    <row r="375" spans="1:11" x14ac:dyDescent="0.2">
      <c r="A375" s="3">
        <v>45040</v>
      </c>
      <c r="B375" s="4" t="s">
        <v>10</v>
      </c>
      <c r="C375" s="4">
        <v>7.7</v>
      </c>
      <c r="D375" s="4">
        <v>2.2000000000000002</v>
      </c>
      <c r="E375" s="4">
        <v>5.6</v>
      </c>
      <c r="F375" s="4">
        <v>1.8</v>
      </c>
      <c r="G375" s="4">
        <v>1.9E-2</v>
      </c>
      <c r="H375" s="4" t="s">
        <v>11</v>
      </c>
      <c r="I375" s="4">
        <v>17.600000000000001</v>
      </c>
      <c r="J375" s="4">
        <v>8</v>
      </c>
      <c r="K375" s="5">
        <f t="shared" si="5"/>
        <v>0.48259999999999997</v>
      </c>
    </row>
    <row r="376" spans="1:11" x14ac:dyDescent="0.2">
      <c r="A376" s="3">
        <v>45018</v>
      </c>
      <c r="B376" s="4" t="s">
        <v>10</v>
      </c>
      <c r="C376" s="4">
        <v>8.9</v>
      </c>
      <c r="D376" s="4">
        <v>0.6</v>
      </c>
      <c r="E376" s="4">
        <v>6</v>
      </c>
      <c r="F376" s="4">
        <v>3.7</v>
      </c>
      <c r="G376" s="4">
        <v>1.9E-2</v>
      </c>
      <c r="H376" s="4" t="s">
        <v>11</v>
      </c>
      <c r="I376" s="4">
        <v>9.4</v>
      </c>
      <c r="J376" s="4">
        <v>8</v>
      </c>
      <c r="K376" s="5">
        <f t="shared" si="5"/>
        <v>0.48259999999999997</v>
      </c>
    </row>
    <row r="377" spans="1:11" x14ac:dyDescent="0.2">
      <c r="A377" s="3">
        <v>45280</v>
      </c>
      <c r="B377" s="4" t="s">
        <v>10</v>
      </c>
      <c r="C377" s="4">
        <v>10.6</v>
      </c>
      <c r="D377" s="4">
        <v>6.7</v>
      </c>
      <c r="E377" s="4">
        <v>8.8000000000000007</v>
      </c>
      <c r="F377" s="4">
        <v>6.7</v>
      </c>
      <c r="G377" s="4">
        <v>1.9E-2</v>
      </c>
      <c r="H377" s="4" t="s">
        <v>11</v>
      </c>
      <c r="I377" s="4">
        <v>20.6</v>
      </c>
      <c r="J377" s="4">
        <v>1</v>
      </c>
      <c r="K377" s="5">
        <f t="shared" si="5"/>
        <v>0.48259999999999997</v>
      </c>
    </row>
    <row r="378" spans="1:11" x14ac:dyDescent="0.2">
      <c r="A378" s="3">
        <v>45224</v>
      </c>
      <c r="B378" s="4" t="s">
        <v>10</v>
      </c>
      <c r="C378" s="4">
        <v>11.3</v>
      </c>
      <c r="D378" s="4">
        <v>6.4</v>
      </c>
      <c r="E378" s="4">
        <v>9</v>
      </c>
      <c r="F378" s="4">
        <v>7.9</v>
      </c>
      <c r="G378" s="4">
        <v>1.9E-2</v>
      </c>
      <c r="H378" s="4" t="s">
        <v>11</v>
      </c>
      <c r="I378" s="4">
        <v>9.3000000000000007</v>
      </c>
      <c r="J378" s="4">
        <v>2</v>
      </c>
      <c r="K378" s="5">
        <f t="shared" si="5"/>
        <v>0.48259999999999997</v>
      </c>
    </row>
    <row r="379" spans="1:11" x14ac:dyDescent="0.2">
      <c r="A379" s="3">
        <v>45193</v>
      </c>
      <c r="B379" s="4" t="s">
        <v>10</v>
      </c>
      <c r="C379" s="4">
        <v>18.8</v>
      </c>
      <c r="D379" s="4">
        <v>11.3</v>
      </c>
      <c r="E379" s="4">
        <v>15.3</v>
      </c>
      <c r="F379" s="4">
        <v>15.3</v>
      </c>
      <c r="G379" s="4">
        <v>1.9E-2</v>
      </c>
      <c r="H379" s="4" t="s">
        <v>11</v>
      </c>
      <c r="I379" s="4">
        <v>22.5</v>
      </c>
      <c r="J379" s="4">
        <v>1</v>
      </c>
      <c r="K379" s="5">
        <f t="shared" si="5"/>
        <v>0.48259999999999997</v>
      </c>
    </row>
    <row r="380" spans="1:11" x14ac:dyDescent="0.2">
      <c r="A380" s="3">
        <v>45239</v>
      </c>
      <c r="B380" s="4" t="s">
        <v>10</v>
      </c>
      <c r="C380" s="4">
        <v>8.6999999999999993</v>
      </c>
      <c r="D380" s="4">
        <v>4.4000000000000004</v>
      </c>
      <c r="E380" s="4">
        <v>6.3</v>
      </c>
      <c r="F380" s="4">
        <v>3.5</v>
      </c>
      <c r="G380" s="4">
        <v>1.7999999999999999E-2</v>
      </c>
      <c r="H380" s="4" t="s">
        <v>11</v>
      </c>
      <c r="I380" s="4">
        <v>12.8</v>
      </c>
      <c r="J380" s="4">
        <v>3</v>
      </c>
      <c r="K380" s="5">
        <f t="shared" si="5"/>
        <v>0.45719999999999994</v>
      </c>
    </row>
    <row r="381" spans="1:11" x14ac:dyDescent="0.2">
      <c r="A381" s="3">
        <v>44588</v>
      </c>
      <c r="B381" s="4" t="s">
        <v>10</v>
      </c>
      <c r="C381" s="4">
        <v>9.8000000000000007</v>
      </c>
      <c r="D381" s="4">
        <v>1.7</v>
      </c>
      <c r="E381" s="4">
        <v>7.6</v>
      </c>
      <c r="F381" s="4">
        <v>4.5999999999999996</v>
      </c>
      <c r="G381" s="4">
        <v>1.7999999999999999E-2</v>
      </c>
      <c r="H381" s="4" t="s">
        <v>11</v>
      </c>
      <c r="I381" s="4">
        <v>18.399999999999999</v>
      </c>
      <c r="J381" s="4">
        <v>2</v>
      </c>
      <c r="K381" s="5">
        <f t="shared" si="5"/>
        <v>0.45719999999999994</v>
      </c>
    </row>
    <row r="382" spans="1:11" x14ac:dyDescent="0.2">
      <c r="A382" s="3">
        <v>44710</v>
      </c>
      <c r="B382" s="4" t="s">
        <v>10</v>
      </c>
      <c r="C382" s="4">
        <v>11.8</v>
      </c>
      <c r="D382" s="4">
        <v>6.7</v>
      </c>
      <c r="E382" s="4">
        <v>9.3000000000000007</v>
      </c>
      <c r="F382" s="4">
        <v>8</v>
      </c>
      <c r="G382" s="4">
        <v>1.7999999999999999E-2</v>
      </c>
      <c r="H382" s="4" t="s">
        <v>11</v>
      </c>
      <c r="I382" s="4">
        <v>13.6</v>
      </c>
      <c r="J382" s="4">
        <v>8</v>
      </c>
      <c r="K382" s="5">
        <f t="shared" si="5"/>
        <v>0.45719999999999994</v>
      </c>
    </row>
    <row r="383" spans="1:11" x14ac:dyDescent="0.2">
      <c r="A383" s="3">
        <v>45120</v>
      </c>
      <c r="B383" s="4" t="s">
        <v>10</v>
      </c>
      <c r="C383" s="4">
        <v>19.8</v>
      </c>
      <c r="D383" s="4">
        <v>11.4</v>
      </c>
      <c r="E383" s="4">
        <v>16</v>
      </c>
      <c r="F383" s="4">
        <v>16</v>
      </c>
      <c r="G383" s="4">
        <v>1.7999999999999999E-2</v>
      </c>
      <c r="H383" s="4" t="s">
        <v>11</v>
      </c>
      <c r="I383" s="4">
        <v>14.7</v>
      </c>
      <c r="J383" s="4">
        <v>10</v>
      </c>
      <c r="K383" s="5">
        <f t="shared" si="5"/>
        <v>0.45719999999999994</v>
      </c>
    </row>
    <row r="384" spans="1:11" x14ac:dyDescent="0.2">
      <c r="A384" s="3">
        <v>45254</v>
      </c>
      <c r="B384" s="4" t="s">
        <v>10</v>
      </c>
      <c r="C384" s="4">
        <v>6.9</v>
      </c>
      <c r="D384" s="4">
        <v>2.9</v>
      </c>
      <c r="E384" s="4">
        <v>4.7</v>
      </c>
      <c r="F384" s="4">
        <v>0.1</v>
      </c>
      <c r="G384" s="4">
        <v>1.7000000000000001E-2</v>
      </c>
      <c r="H384" s="4" t="s">
        <v>11</v>
      </c>
      <c r="I384" s="4">
        <v>20.2</v>
      </c>
      <c r="J384" s="4">
        <v>4</v>
      </c>
      <c r="K384" s="5">
        <f t="shared" si="5"/>
        <v>0.43180000000000002</v>
      </c>
    </row>
    <row r="385" spans="1:11" x14ac:dyDescent="0.2">
      <c r="A385" s="3">
        <v>44976</v>
      </c>
      <c r="B385" s="4" t="s">
        <v>10</v>
      </c>
      <c r="C385" s="4">
        <v>9.6999999999999993</v>
      </c>
      <c r="D385" s="4">
        <v>3.7</v>
      </c>
      <c r="E385" s="4">
        <v>7.8</v>
      </c>
      <c r="F385" s="4">
        <v>4.9000000000000004</v>
      </c>
      <c r="G385" s="4">
        <v>1.7000000000000001E-2</v>
      </c>
      <c r="H385" s="4" t="s">
        <v>11</v>
      </c>
      <c r="I385" s="4">
        <v>17.100000000000001</v>
      </c>
      <c r="J385" s="4">
        <v>3</v>
      </c>
      <c r="K385" s="5">
        <f t="shared" si="5"/>
        <v>0.43180000000000002</v>
      </c>
    </row>
    <row r="386" spans="1:11" x14ac:dyDescent="0.2">
      <c r="A386" s="3">
        <v>44656</v>
      </c>
      <c r="B386" s="4" t="s">
        <v>10</v>
      </c>
      <c r="C386" s="4">
        <v>11.5</v>
      </c>
      <c r="D386" s="4">
        <v>9.1</v>
      </c>
      <c r="E386" s="4">
        <v>10.3</v>
      </c>
      <c r="F386" s="4">
        <v>9.6</v>
      </c>
      <c r="G386" s="4">
        <v>1.7000000000000001E-2</v>
      </c>
      <c r="H386" s="4" t="s">
        <v>11</v>
      </c>
      <c r="I386" s="4">
        <v>22</v>
      </c>
      <c r="J386" s="4">
        <v>5</v>
      </c>
      <c r="K386" s="5">
        <f t="shared" ref="K386:K449" si="6">SUM(G386*25.4)</f>
        <v>0.43180000000000002</v>
      </c>
    </row>
    <row r="387" spans="1:11" x14ac:dyDescent="0.2">
      <c r="A387" s="3">
        <v>44704</v>
      </c>
      <c r="B387" s="4" t="s">
        <v>10</v>
      </c>
      <c r="C387" s="4">
        <v>15.8</v>
      </c>
      <c r="D387" s="4">
        <v>10.3</v>
      </c>
      <c r="E387" s="4">
        <v>12.9</v>
      </c>
      <c r="F387" s="4">
        <v>12.9</v>
      </c>
      <c r="G387" s="4">
        <v>1.7000000000000001E-2</v>
      </c>
      <c r="H387" s="4" t="s">
        <v>11</v>
      </c>
      <c r="I387" s="4">
        <v>11.4</v>
      </c>
      <c r="J387" s="4">
        <v>6</v>
      </c>
      <c r="K387" s="5">
        <f t="shared" si="6"/>
        <v>0.43180000000000002</v>
      </c>
    </row>
    <row r="388" spans="1:11" x14ac:dyDescent="0.2">
      <c r="A388" s="3">
        <v>44856</v>
      </c>
      <c r="B388" s="4" t="s">
        <v>10</v>
      </c>
      <c r="C388" s="4">
        <v>15.8</v>
      </c>
      <c r="D388" s="4">
        <v>11.1</v>
      </c>
      <c r="E388" s="4">
        <v>13.4</v>
      </c>
      <c r="F388" s="4">
        <v>13.4</v>
      </c>
      <c r="G388" s="4">
        <v>1.7000000000000001E-2</v>
      </c>
      <c r="H388" s="4" t="s">
        <v>11</v>
      </c>
      <c r="I388" s="4">
        <v>14.1</v>
      </c>
      <c r="J388" s="4">
        <v>4</v>
      </c>
      <c r="K388" s="5">
        <f t="shared" si="6"/>
        <v>0.43180000000000002</v>
      </c>
    </row>
    <row r="389" spans="1:11" x14ac:dyDescent="0.2">
      <c r="A389" s="3">
        <v>44653</v>
      </c>
      <c r="B389" s="4" t="s">
        <v>10</v>
      </c>
      <c r="C389" s="4">
        <v>7.3</v>
      </c>
      <c r="D389" s="4">
        <v>-0.9</v>
      </c>
      <c r="E389" s="4">
        <v>3.1</v>
      </c>
      <c r="F389" s="4">
        <v>1.2</v>
      </c>
      <c r="G389" s="4">
        <v>1.6E-2</v>
      </c>
      <c r="H389" s="4" t="s">
        <v>12</v>
      </c>
      <c r="I389" s="4">
        <v>10.6</v>
      </c>
      <c r="J389" s="4">
        <v>5</v>
      </c>
      <c r="K389" s="5">
        <f t="shared" si="6"/>
        <v>0.40639999999999998</v>
      </c>
    </row>
    <row r="390" spans="1:11" x14ac:dyDescent="0.2">
      <c r="A390" s="3">
        <v>44737</v>
      </c>
      <c r="B390" s="4" t="s">
        <v>10</v>
      </c>
      <c r="C390" s="4">
        <v>20</v>
      </c>
      <c r="D390" s="4">
        <v>11.9</v>
      </c>
      <c r="E390" s="4">
        <v>15.7</v>
      </c>
      <c r="F390" s="4">
        <v>15.7</v>
      </c>
      <c r="G390" s="4">
        <v>1.6E-2</v>
      </c>
      <c r="H390" s="4" t="s">
        <v>11</v>
      </c>
      <c r="I390" s="4">
        <v>19.2</v>
      </c>
      <c r="J390" s="4">
        <v>6</v>
      </c>
      <c r="K390" s="5">
        <f t="shared" si="6"/>
        <v>0.40639999999999998</v>
      </c>
    </row>
    <row r="391" spans="1:11" x14ac:dyDescent="0.2">
      <c r="A391" s="3">
        <v>44754</v>
      </c>
      <c r="B391" s="4" t="s">
        <v>10</v>
      </c>
      <c r="C391" s="4">
        <v>23.3</v>
      </c>
      <c r="D391" s="4">
        <v>18.100000000000001</v>
      </c>
      <c r="E391" s="4">
        <v>20.399999999999999</v>
      </c>
      <c r="F391" s="4">
        <v>20.399999999999999</v>
      </c>
      <c r="G391" s="4">
        <v>1.6E-2</v>
      </c>
      <c r="H391" s="4" t="s">
        <v>11</v>
      </c>
      <c r="I391" s="4">
        <v>13</v>
      </c>
      <c r="J391" s="4">
        <v>5</v>
      </c>
      <c r="K391" s="5">
        <f t="shared" si="6"/>
        <v>0.40639999999999998</v>
      </c>
    </row>
    <row r="392" spans="1:11" x14ac:dyDescent="0.2">
      <c r="A392" s="3">
        <v>44796</v>
      </c>
      <c r="B392" s="4" t="s">
        <v>10</v>
      </c>
      <c r="C392" s="4">
        <v>23.3</v>
      </c>
      <c r="D392" s="4">
        <v>15</v>
      </c>
      <c r="E392" s="4">
        <v>18.8</v>
      </c>
      <c r="F392" s="4">
        <v>18.8</v>
      </c>
      <c r="G392" s="4">
        <v>1.6E-2</v>
      </c>
      <c r="H392" s="4" t="s">
        <v>11</v>
      </c>
      <c r="I392" s="4">
        <v>9.6999999999999993</v>
      </c>
      <c r="J392" s="4">
        <v>8</v>
      </c>
      <c r="K392" s="5">
        <f t="shared" si="6"/>
        <v>0.40639999999999998</v>
      </c>
    </row>
    <row r="393" spans="1:11" x14ac:dyDescent="0.2">
      <c r="A393" s="3">
        <v>45259</v>
      </c>
      <c r="B393" s="4" t="s">
        <v>10</v>
      </c>
      <c r="C393" s="4">
        <v>2.4</v>
      </c>
      <c r="D393" s="4">
        <v>-1.3</v>
      </c>
      <c r="E393" s="4">
        <v>0.4</v>
      </c>
      <c r="F393" s="4">
        <v>-2.7</v>
      </c>
      <c r="G393" s="4">
        <v>1.4999999999999999E-2</v>
      </c>
      <c r="H393" s="4" t="s">
        <v>12</v>
      </c>
      <c r="I393" s="4">
        <v>8.3000000000000007</v>
      </c>
      <c r="J393" s="4">
        <v>2</v>
      </c>
      <c r="K393" s="5">
        <f t="shared" si="6"/>
        <v>0.38099999999999995</v>
      </c>
    </row>
    <row r="394" spans="1:11" x14ac:dyDescent="0.2">
      <c r="A394" s="3">
        <v>45279</v>
      </c>
      <c r="B394" s="4" t="s">
        <v>10</v>
      </c>
      <c r="C394" s="4">
        <v>9.9</v>
      </c>
      <c r="D394" s="4">
        <v>6</v>
      </c>
      <c r="E394" s="4">
        <v>7.7</v>
      </c>
      <c r="F394" s="4">
        <v>4.9000000000000004</v>
      </c>
      <c r="G394" s="4">
        <v>1.4999999999999999E-2</v>
      </c>
      <c r="H394" s="4" t="s">
        <v>11</v>
      </c>
      <c r="I394" s="4">
        <v>17.399999999999999</v>
      </c>
      <c r="J394" s="4">
        <v>1</v>
      </c>
      <c r="K394" s="5">
        <f t="shared" si="6"/>
        <v>0.38099999999999995</v>
      </c>
    </row>
    <row r="395" spans="1:11" x14ac:dyDescent="0.2">
      <c r="A395" s="3">
        <v>45014</v>
      </c>
      <c r="B395" s="4" t="s">
        <v>10</v>
      </c>
      <c r="C395" s="4">
        <v>13.6</v>
      </c>
      <c r="D395" s="4">
        <v>6.9</v>
      </c>
      <c r="E395" s="4">
        <v>10.199999999999999</v>
      </c>
      <c r="F395" s="4">
        <v>9.1</v>
      </c>
      <c r="G395" s="4">
        <v>1.4999999999999999E-2</v>
      </c>
      <c r="H395" s="4" t="s">
        <v>11</v>
      </c>
      <c r="I395" s="4">
        <v>15.9</v>
      </c>
      <c r="J395" s="4">
        <v>3</v>
      </c>
      <c r="K395" s="5">
        <f t="shared" si="6"/>
        <v>0.38099999999999995</v>
      </c>
    </row>
    <row r="396" spans="1:11" x14ac:dyDescent="0.2">
      <c r="A396" s="3">
        <v>44664</v>
      </c>
      <c r="B396" s="4" t="s">
        <v>10</v>
      </c>
      <c r="C396" s="4">
        <v>14.4</v>
      </c>
      <c r="D396" s="4">
        <v>8.4</v>
      </c>
      <c r="E396" s="4">
        <v>11.1</v>
      </c>
      <c r="F396" s="4">
        <v>10.6</v>
      </c>
      <c r="G396" s="4">
        <v>1.4999999999999999E-2</v>
      </c>
      <c r="H396" s="4" t="s">
        <v>11</v>
      </c>
      <c r="I396" s="4">
        <v>13.3</v>
      </c>
      <c r="J396" s="4">
        <v>3</v>
      </c>
      <c r="K396" s="5">
        <f t="shared" si="6"/>
        <v>0.38099999999999995</v>
      </c>
    </row>
    <row r="397" spans="1:11" x14ac:dyDescent="0.2">
      <c r="A397" s="3">
        <v>45106</v>
      </c>
      <c r="B397" s="4" t="s">
        <v>10</v>
      </c>
      <c r="C397" s="4">
        <v>18.899999999999999</v>
      </c>
      <c r="D397" s="4">
        <v>11.3</v>
      </c>
      <c r="E397" s="4">
        <v>15.1</v>
      </c>
      <c r="F397" s="4">
        <v>15.1</v>
      </c>
      <c r="G397" s="4">
        <v>1.4999999999999999E-2</v>
      </c>
      <c r="H397" s="4" t="s">
        <v>11</v>
      </c>
      <c r="I397" s="4">
        <v>13.1</v>
      </c>
      <c r="J397" s="4">
        <v>9</v>
      </c>
      <c r="K397" s="5">
        <f t="shared" si="6"/>
        <v>0.38099999999999995</v>
      </c>
    </row>
    <row r="398" spans="1:11" x14ac:dyDescent="0.2">
      <c r="A398" s="3">
        <v>45062</v>
      </c>
      <c r="B398" s="4" t="s">
        <v>10</v>
      </c>
      <c r="C398" s="4">
        <v>15.9</v>
      </c>
      <c r="D398" s="4">
        <v>4.2</v>
      </c>
      <c r="E398" s="4">
        <v>10.6</v>
      </c>
      <c r="F398" s="4">
        <v>9.8000000000000007</v>
      </c>
      <c r="G398" s="4">
        <v>1.4E-2</v>
      </c>
      <c r="H398" s="4" t="s">
        <v>11</v>
      </c>
      <c r="I398" s="4">
        <v>15.8</v>
      </c>
      <c r="J398" s="4">
        <v>7</v>
      </c>
      <c r="K398" s="5">
        <f t="shared" si="6"/>
        <v>0.35559999999999997</v>
      </c>
    </row>
    <row r="399" spans="1:11" x14ac:dyDescent="0.2">
      <c r="A399" s="3">
        <v>44745</v>
      </c>
      <c r="B399" s="4" t="s">
        <v>10</v>
      </c>
      <c r="C399" s="4">
        <v>18</v>
      </c>
      <c r="D399" s="4">
        <v>9.6</v>
      </c>
      <c r="E399" s="4">
        <v>14.1</v>
      </c>
      <c r="F399" s="4">
        <v>13.8</v>
      </c>
      <c r="G399" s="4">
        <v>1.4E-2</v>
      </c>
      <c r="H399" s="4" t="s">
        <v>11</v>
      </c>
      <c r="I399" s="4">
        <v>12.8</v>
      </c>
      <c r="J399" s="4">
        <v>7</v>
      </c>
      <c r="K399" s="5">
        <f t="shared" si="6"/>
        <v>0.35559999999999997</v>
      </c>
    </row>
    <row r="400" spans="1:11" x14ac:dyDescent="0.2">
      <c r="A400" s="3">
        <v>45167</v>
      </c>
      <c r="B400" s="4" t="s">
        <v>10</v>
      </c>
      <c r="C400" s="4">
        <v>18.100000000000001</v>
      </c>
      <c r="D400" s="4">
        <v>12.4</v>
      </c>
      <c r="E400" s="4">
        <v>14.7</v>
      </c>
      <c r="F400" s="4">
        <v>14.7</v>
      </c>
      <c r="G400" s="4">
        <v>1.4E-2</v>
      </c>
      <c r="H400" s="4" t="s">
        <v>11</v>
      </c>
      <c r="I400" s="4">
        <v>14.1</v>
      </c>
      <c r="J400" s="4">
        <v>9</v>
      </c>
      <c r="K400" s="5">
        <f t="shared" si="6"/>
        <v>0.35559999999999997</v>
      </c>
    </row>
    <row r="401" spans="1:11" x14ac:dyDescent="0.2">
      <c r="A401" s="3">
        <v>45233</v>
      </c>
      <c r="B401" s="4" t="s">
        <v>10</v>
      </c>
      <c r="C401" s="4">
        <v>11.7</v>
      </c>
      <c r="D401" s="4">
        <v>5.9</v>
      </c>
      <c r="E401" s="4">
        <v>8.9</v>
      </c>
      <c r="F401" s="4">
        <v>6.7</v>
      </c>
      <c r="G401" s="4">
        <v>1.2999999999999999E-2</v>
      </c>
      <c r="H401" s="4" t="s">
        <v>11</v>
      </c>
      <c r="I401" s="4">
        <v>17.399999999999999</v>
      </c>
      <c r="J401" s="4">
        <v>4</v>
      </c>
      <c r="K401" s="5">
        <f t="shared" si="6"/>
        <v>0.33019999999999999</v>
      </c>
    </row>
    <row r="402" spans="1:11" x14ac:dyDescent="0.2">
      <c r="A402" s="3">
        <v>45253</v>
      </c>
      <c r="B402" s="4" t="s">
        <v>10</v>
      </c>
      <c r="C402" s="4">
        <v>13.1</v>
      </c>
      <c r="D402" s="4">
        <v>7.4</v>
      </c>
      <c r="E402" s="4">
        <v>11.1</v>
      </c>
      <c r="F402" s="4">
        <v>10.199999999999999</v>
      </c>
      <c r="G402" s="4">
        <v>1.2999999999999999E-2</v>
      </c>
      <c r="H402" s="4" t="s">
        <v>11</v>
      </c>
      <c r="I402" s="4">
        <v>23.8</v>
      </c>
      <c r="J402" s="4">
        <v>1</v>
      </c>
      <c r="K402" s="5">
        <f t="shared" si="6"/>
        <v>0.33019999999999999</v>
      </c>
    </row>
    <row r="403" spans="1:11" x14ac:dyDescent="0.2">
      <c r="A403" s="3">
        <v>44706</v>
      </c>
      <c r="B403" s="4" t="s">
        <v>10</v>
      </c>
      <c r="C403" s="4">
        <v>16.100000000000001</v>
      </c>
      <c r="D403" s="4">
        <v>8.6999999999999993</v>
      </c>
      <c r="E403" s="4">
        <v>12.4</v>
      </c>
      <c r="F403" s="4">
        <v>11.8</v>
      </c>
      <c r="G403" s="4">
        <v>1.2999999999999999E-2</v>
      </c>
      <c r="H403" s="4" t="s">
        <v>11</v>
      </c>
      <c r="I403" s="4">
        <v>19.899999999999999</v>
      </c>
      <c r="J403" s="4">
        <v>5</v>
      </c>
      <c r="K403" s="5">
        <f t="shared" si="6"/>
        <v>0.33019999999999999</v>
      </c>
    </row>
    <row r="404" spans="1:11" x14ac:dyDescent="0.2">
      <c r="A404" s="3">
        <v>44802</v>
      </c>
      <c r="B404" s="4" t="s">
        <v>10</v>
      </c>
      <c r="C404" s="4">
        <v>16.899999999999999</v>
      </c>
      <c r="D404" s="4">
        <v>12.8</v>
      </c>
      <c r="E404" s="4">
        <v>15.1</v>
      </c>
      <c r="F404" s="4">
        <v>15.1</v>
      </c>
      <c r="G404" s="4">
        <v>1.2999999999999999E-2</v>
      </c>
      <c r="H404" s="4" t="s">
        <v>11</v>
      </c>
      <c r="I404" s="4">
        <v>11.3</v>
      </c>
      <c r="J404" s="4">
        <v>4</v>
      </c>
      <c r="K404" s="5">
        <f t="shared" si="6"/>
        <v>0.33019999999999999</v>
      </c>
    </row>
    <row r="405" spans="1:11" x14ac:dyDescent="0.2">
      <c r="A405" s="3">
        <v>44756</v>
      </c>
      <c r="B405" s="4" t="s">
        <v>10</v>
      </c>
      <c r="C405" s="4">
        <v>19.100000000000001</v>
      </c>
      <c r="D405" s="4">
        <v>11.7</v>
      </c>
      <c r="E405" s="4">
        <v>15.1</v>
      </c>
      <c r="F405" s="4">
        <v>15.1</v>
      </c>
      <c r="G405" s="4">
        <v>1.2999999999999999E-2</v>
      </c>
      <c r="H405" s="4" t="s">
        <v>11</v>
      </c>
      <c r="I405" s="4">
        <v>12.1</v>
      </c>
      <c r="J405" s="4">
        <v>7</v>
      </c>
      <c r="K405" s="5">
        <f t="shared" si="6"/>
        <v>0.33019999999999999</v>
      </c>
    </row>
    <row r="406" spans="1:11" x14ac:dyDescent="0.2">
      <c r="A406" s="3">
        <v>44944</v>
      </c>
      <c r="B406" s="4" t="s">
        <v>10</v>
      </c>
      <c r="C406" s="4">
        <v>4.4000000000000004</v>
      </c>
      <c r="D406" s="4">
        <v>-1.6</v>
      </c>
      <c r="E406" s="4">
        <v>1.3</v>
      </c>
      <c r="F406" s="4">
        <v>-3.3</v>
      </c>
      <c r="G406" s="4">
        <v>1.2E-2</v>
      </c>
      <c r="H406" s="4" t="s">
        <v>11</v>
      </c>
      <c r="I406" s="4">
        <v>16.5</v>
      </c>
      <c r="J406" s="4">
        <v>3</v>
      </c>
      <c r="K406" s="5">
        <f t="shared" si="6"/>
        <v>0.30480000000000002</v>
      </c>
    </row>
    <row r="407" spans="1:11" x14ac:dyDescent="0.2">
      <c r="A407" s="3">
        <v>45286</v>
      </c>
      <c r="B407" s="4" t="s">
        <v>10</v>
      </c>
      <c r="C407" s="4">
        <v>7.7</v>
      </c>
      <c r="D407" s="4">
        <v>1.1000000000000001</v>
      </c>
      <c r="E407" s="4">
        <v>4.7</v>
      </c>
      <c r="F407" s="4">
        <v>1.8</v>
      </c>
      <c r="G407" s="4">
        <v>1.2E-2</v>
      </c>
      <c r="H407" s="4" t="s">
        <v>11</v>
      </c>
      <c r="I407" s="4">
        <v>22.2</v>
      </c>
      <c r="J407" s="4">
        <v>3</v>
      </c>
      <c r="K407" s="5">
        <f t="shared" si="6"/>
        <v>0.30480000000000002</v>
      </c>
    </row>
    <row r="408" spans="1:11" x14ac:dyDescent="0.2">
      <c r="A408" s="3">
        <v>44580</v>
      </c>
      <c r="B408" s="4" t="s">
        <v>10</v>
      </c>
      <c r="C408" s="4">
        <v>8.1</v>
      </c>
      <c r="D408" s="4">
        <v>2.2000000000000002</v>
      </c>
      <c r="E408" s="4">
        <v>5.4</v>
      </c>
      <c r="F408" s="4">
        <v>1.7</v>
      </c>
      <c r="G408" s="4">
        <v>1.2E-2</v>
      </c>
      <c r="H408" s="4" t="s">
        <v>11</v>
      </c>
      <c r="I408" s="4">
        <v>20.399999999999999</v>
      </c>
      <c r="J408" s="4">
        <v>2</v>
      </c>
      <c r="K408" s="5">
        <f t="shared" si="6"/>
        <v>0.30480000000000002</v>
      </c>
    </row>
    <row r="409" spans="1:11" x14ac:dyDescent="0.2">
      <c r="A409" s="3">
        <v>44959</v>
      </c>
      <c r="B409" s="4" t="s">
        <v>10</v>
      </c>
      <c r="C409" s="4">
        <v>10.4</v>
      </c>
      <c r="D409" s="4">
        <v>8</v>
      </c>
      <c r="E409" s="4">
        <v>9.1999999999999993</v>
      </c>
      <c r="F409" s="4">
        <v>6.2</v>
      </c>
      <c r="G409" s="4">
        <v>1.2E-2</v>
      </c>
      <c r="H409" s="4" t="s">
        <v>11</v>
      </c>
      <c r="I409" s="4">
        <v>20</v>
      </c>
      <c r="J409" s="4">
        <v>1</v>
      </c>
      <c r="K409" s="5">
        <f t="shared" si="6"/>
        <v>0.30480000000000002</v>
      </c>
    </row>
    <row r="410" spans="1:11" x14ac:dyDescent="0.2">
      <c r="A410" s="3">
        <v>44681</v>
      </c>
      <c r="B410" s="4" t="s">
        <v>10</v>
      </c>
      <c r="C410" s="4">
        <v>16.3</v>
      </c>
      <c r="D410" s="4">
        <v>1.7</v>
      </c>
      <c r="E410" s="4">
        <v>9.4</v>
      </c>
      <c r="F410" s="4">
        <v>9.1999999999999993</v>
      </c>
      <c r="G410" s="4">
        <v>1.2E-2</v>
      </c>
      <c r="H410" s="4" t="s">
        <v>11</v>
      </c>
      <c r="I410" s="4">
        <v>11.7</v>
      </c>
      <c r="J410" s="4">
        <v>8</v>
      </c>
      <c r="K410" s="5">
        <f t="shared" si="6"/>
        <v>0.30480000000000002</v>
      </c>
    </row>
    <row r="411" spans="1:11" x14ac:dyDescent="0.2">
      <c r="A411" s="3">
        <v>44723</v>
      </c>
      <c r="B411" s="4" t="s">
        <v>10</v>
      </c>
      <c r="C411" s="4">
        <v>17.899999999999999</v>
      </c>
      <c r="D411" s="4">
        <v>11.5</v>
      </c>
      <c r="E411" s="4">
        <v>15</v>
      </c>
      <c r="F411" s="4">
        <v>15</v>
      </c>
      <c r="G411" s="4">
        <v>1.2E-2</v>
      </c>
      <c r="H411" s="4" t="s">
        <v>11</v>
      </c>
      <c r="I411" s="4">
        <v>21.2</v>
      </c>
      <c r="J411" s="4">
        <v>7</v>
      </c>
      <c r="K411" s="5">
        <f t="shared" si="6"/>
        <v>0.30480000000000002</v>
      </c>
    </row>
    <row r="412" spans="1:11" x14ac:dyDescent="0.2">
      <c r="A412" s="3">
        <v>44792</v>
      </c>
      <c r="B412" s="4" t="s">
        <v>10</v>
      </c>
      <c r="C412" s="4">
        <v>19.3</v>
      </c>
      <c r="D412" s="4">
        <v>12.7</v>
      </c>
      <c r="E412" s="4">
        <v>16.3</v>
      </c>
      <c r="F412" s="4">
        <v>16.3</v>
      </c>
      <c r="G412" s="4">
        <v>1.2E-2</v>
      </c>
      <c r="H412" s="4" t="s">
        <v>11</v>
      </c>
      <c r="I412" s="4">
        <v>13.8</v>
      </c>
      <c r="J412" s="4">
        <v>5</v>
      </c>
      <c r="K412" s="5">
        <f t="shared" si="6"/>
        <v>0.30480000000000002</v>
      </c>
    </row>
    <row r="413" spans="1:11" x14ac:dyDescent="0.2">
      <c r="A413" s="3">
        <v>44894</v>
      </c>
      <c r="B413" s="4" t="s">
        <v>10</v>
      </c>
      <c r="C413" s="4">
        <v>4.0999999999999996</v>
      </c>
      <c r="D413" s="4">
        <v>1.9</v>
      </c>
      <c r="E413" s="4">
        <v>2.9</v>
      </c>
      <c r="F413" s="4">
        <v>1.8</v>
      </c>
      <c r="G413" s="4">
        <v>1.0999999999999999E-2</v>
      </c>
      <c r="H413" s="4" t="s">
        <v>12</v>
      </c>
      <c r="I413" s="4">
        <v>6.2</v>
      </c>
      <c r="J413" s="4">
        <v>1</v>
      </c>
      <c r="K413" s="5">
        <f t="shared" si="6"/>
        <v>0.27939999999999998</v>
      </c>
    </row>
    <row r="414" spans="1:11" x14ac:dyDescent="0.2">
      <c r="A414" s="3">
        <v>44992</v>
      </c>
      <c r="B414" s="4" t="s">
        <v>10</v>
      </c>
      <c r="C414" s="4">
        <v>4.4000000000000004</v>
      </c>
      <c r="D414" s="4">
        <v>-4.2</v>
      </c>
      <c r="E414" s="4">
        <v>0.4</v>
      </c>
      <c r="F414" s="4">
        <v>-2.6</v>
      </c>
      <c r="G414" s="4">
        <v>1.0999999999999999E-2</v>
      </c>
      <c r="H414" s="4" t="s">
        <v>11</v>
      </c>
      <c r="I414" s="4">
        <v>12.3</v>
      </c>
      <c r="J414" s="4">
        <v>6</v>
      </c>
      <c r="K414" s="5">
        <f t="shared" si="6"/>
        <v>0.27939999999999998</v>
      </c>
    </row>
    <row r="415" spans="1:11" x14ac:dyDescent="0.2">
      <c r="A415" s="3">
        <v>44946</v>
      </c>
      <c r="B415" s="4" t="s">
        <v>10</v>
      </c>
      <c r="C415" s="4">
        <v>4.8</v>
      </c>
      <c r="D415" s="4">
        <v>-0.9</v>
      </c>
      <c r="E415" s="4">
        <v>2.1</v>
      </c>
      <c r="F415" s="4">
        <v>-1.3</v>
      </c>
      <c r="G415" s="4">
        <v>1.0999999999999999E-2</v>
      </c>
      <c r="H415" s="4" t="s">
        <v>11</v>
      </c>
      <c r="I415" s="4">
        <v>12.9</v>
      </c>
      <c r="J415" s="4">
        <v>2</v>
      </c>
      <c r="K415" s="5">
        <f t="shared" si="6"/>
        <v>0.27939999999999998</v>
      </c>
    </row>
    <row r="416" spans="1:11" x14ac:dyDescent="0.2">
      <c r="A416" s="3">
        <v>44694</v>
      </c>
      <c r="B416" s="4" t="s">
        <v>10</v>
      </c>
      <c r="C416" s="4">
        <v>15</v>
      </c>
      <c r="D416" s="4">
        <v>10.3</v>
      </c>
      <c r="E416" s="4">
        <v>12.6</v>
      </c>
      <c r="F416" s="4">
        <v>12.6</v>
      </c>
      <c r="G416" s="4">
        <v>1.0999999999999999E-2</v>
      </c>
      <c r="H416" s="4" t="s">
        <v>11</v>
      </c>
      <c r="I416" s="4">
        <v>20.7</v>
      </c>
      <c r="J416" s="4">
        <v>4</v>
      </c>
      <c r="K416" s="5">
        <f t="shared" si="6"/>
        <v>0.27939999999999998</v>
      </c>
    </row>
    <row r="417" spans="1:11" x14ac:dyDescent="0.2">
      <c r="A417" s="3">
        <v>45203</v>
      </c>
      <c r="B417" s="4" t="s">
        <v>10</v>
      </c>
      <c r="C417" s="4">
        <v>16.8</v>
      </c>
      <c r="D417" s="4">
        <v>11.1</v>
      </c>
      <c r="E417" s="4">
        <v>13.2</v>
      </c>
      <c r="F417" s="4">
        <v>13.2</v>
      </c>
      <c r="G417" s="4">
        <v>1.0999999999999999E-2</v>
      </c>
      <c r="H417" s="4" t="s">
        <v>11</v>
      </c>
      <c r="I417" s="4">
        <v>18.399999999999999</v>
      </c>
      <c r="J417" s="4">
        <v>5</v>
      </c>
      <c r="K417" s="5">
        <f t="shared" si="6"/>
        <v>0.27939999999999998</v>
      </c>
    </row>
    <row r="418" spans="1:11" x14ac:dyDescent="0.2">
      <c r="A418" s="3">
        <v>44808</v>
      </c>
      <c r="B418" s="4" t="s">
        <v>10</v>
      </c>
      <c r="C418" s="4">
        <v>22.7</v>
      </c>
      <c r="D418" s="4">
        <v>15.2</v>
      </c>
      <c r="E418" s="4">
        <v>18.399999999999999</v>
      </c>
      <c r="F418" s="4">
        <v>18.399999999999999</v>
      </c>
      <c r="G418" s="4">
        <v>1.0999999999999999E-2</v>
      </c>
      <c r="H418" s="4" t="s">
        <v>11</v>
      </c>
      <c r="I418" s="4">
        <v>12.8</v>
      </c>
      <c r="J418" s="4">
        <v>4</v>
      </c>
      <c r="K418" s="5">
        <f t="shared" si="6"/>
        <v>0.27939999999999998</v>
      </c>
    </row>
    <row r="419" spans="1:11" x14ac:dyDescent="0.2">
      <c r="A419" s="3">
        <v>44735</v>
      </c>
      <c r="B419" s="4" t="s">
        <v>10</v>
      </c>
      <c r="C419" s="4">
        <v>25.4</v>
      </c>
      <c r="D419" s="4">
        <v>10.6</v>
      </c>
      <c r="E419" s="4">
        <v>18</v>
      </c>
      <c r="F419" s="4">
        <v>18</v>
      </c>
      <c r="G419" s="4">
        <v>1.0999999999999999E-2</v>
      </c>
      <c r="H419" s="4" t="s">
        <v>11</v>
      </c>
      <c r="I419" s="4">
        <v>13.3</v>
      </c>
      <c r="J419" s="4">
        <v>8</v>
      </c>
      <c r="K419" s="5">
        <f t="shared" si="6"/>
        <v>0.27939999999999998</v>
      </c>
    </row>
    <row r="420" spans="1:11" x14ac:dyDescent="0.2">
      <c r="A420" s="3">
        <v>44895</v>
      </c>
      <c r="B420" s="4" t="s">
        <v>10</v>
      </c>
      <c r="C420" s="4">
        <v>4.4000000000000004</v>
      </c>
      <c r="D420" s="4">
        <v>2.7</v>
      </c>
      <c r="E420" s="4">
        <v>3.6</v>
      </c>
      <c r="F420" s="4">
        <v>1.3</v>
      </c>
      <c r="G420" s="4">
        <v>0.01</v>
      </c>
      <c r="H420" s="4" t="s">
        <v>11</v>
      </c>
      <c r="I420" s="4">
        <v>7.9</v>
      </c>
      <c r="J420" s="4">
        <v>1</v>
      </c>
      <c r="K420" s="5">
        <f t="shared" si="6"/>
        <v>0.254</v>
      </c>
    </row>
    <row r="421" spans="1:11" x14ac:dyDescent="0.2">
      <c r="A421" s="3">
        <v>44577</v>
      </c>
      <c r="B421" s="4" t="s">
        <v>10</v>
      </c>
      <c r="C421" s="4">
        <v>6.3</v>
      </c>
      <c r="D421" s="4">
        <v>0.2</v>
      </c>
      <c r="E421" s="4">
        <v>2.7</v>
      </c>
      <c r="F421" s="4">
        <v>0.4</v>
      </c>
      <c r="G421" s="4">
        <v>0.01</v>
      </c>
      <c r="H421" s="4" t="s">
        <v>12</v>
      </c>
      <c r="I421" s="4">
        <v>7.9</v>
      </c>
      <c r="J421" s="4">
        <v>1</v>
      </c>
      <c r="K421" s="5">
        <f t="shared" si="6"/>
        <v>0.254</v>
      </c>
    </row>
    <row r="422" spans="1:11" x14ac:dyDescent="0.2">
      <c r="A422" s="3">
        <v>44683</v>
      </c>
      <c r="B422" s="4" t="s">
        <v>10</v>
      </c>
      <c r="C422" s="4">
        <v>13.5</v>
      </c>
      <c r="D422" s="4">
        <v>8</v>
      </c>
      <c r="E422" s="4">
        <v>10.6</v>
      </c>
      <c r="F422" s="4">
        <v>10.1</v>
      </c>
      <c r="G422" s="4">
        <v>0.01</v>
      </c>
      <c r="H422" s="4" t="s">
        <v>11</v>
      </c>
      <c r="I422" s="4">
        <v>9.9</v>
      </c>
      <c r="J422" s="4">
        <v>3</v>
      </c>
      <c r="K422" s="5">
        <f t="shared" si="6"/>
        <v>0.254</v>
      </c>
    </row>
    <row r="423" spans="1:11" x14ac:dyDescent="0.2">
      <c r="A423" s="3">
        <v>44875</v>
      </c>
      <c r="B423" s="4" t="s">
        <v>10</v>
      </c>
      <c r="C423" s="4">
        <v>14.6</v>
      </c>
      <c r="D423" s="4">
        <v>10.1</v>
      </c>
      <c r="E423" s="4">
        <v>12.9</v>
      </c>
      <c r="F423" s="4">
        <v>12.9</v>
      </c>
      <c r="G423" s="4">
        <v>0.01</v>
      </c>
      <c r="H423" s="4" t="s">
        <v>11</v>
      </c>
      <c r="I423" s="4">
        <v>22.4</v>
      </c>
      <c r="J423" s="4">
        <v>1</v>
      </c>
      <c r="K423" s="5">
        <f t="shared" si="6"/>
        <v>0.254</v>
      </c>
    </row>
    <row r="424" spans="1:11" x14ac:dyDescent="0.2">
      <c r="A424" s="3">
        <v>44827</v>
      </c>
      <c r="B424" s="4" t="s">
        <v>10</v>
      </c>
      <c r="C424" s="4">
        <v>17.100000000000001</v>
      </c>
      <c r="D424" s="4">
        <v>8.8000000000000007</v>
      </c>
      <c r="E424" s="4">
        <v>12.8</v>
      </c>
      <c r="F424" s="4">
        <v>12.7</v>
      </c>
      <c r="G424" s="4">
        <v>0.01</v>
      </c>
      <c r="H424" s="4" t="s">
        <v>11</v>
      </c>
      <c r="I424" s="4">
        <v>9.1</v>
      </c>
      <c r="J424" s="4">
        <v>6</v>
      </c>
      <c r="K424" s="5">
        <f t="shared" si="6"/>
        <v>0.254</v>
      </c>
    </row>
    <row r="425" spans="1:11" x14ac:dyDescent="0.2">
      <c r="A425" s="3">
        <v>45261</v>
      </c>
      <c r="B425" s="4" t="s">
        <v>10</v>
      </c>
      <c r="C425" s="4">
        <v>0.8</v>
      </c>
      <c r="D425" s="4">
        <v>-2.7</v>
      </c>
      <c r="E425" s="4">
        <v>-0.9</v>
      </c>
      <c r="F425" s="4">
        <v>-3.4</v>
      </c>
      <c r="G425" s="4">
        <v>8.9999999999999993E-3</v>
      </c>
      <c r="H425" s="4" t="s">
        <v>12</v>
      </c>
      <c r="I425" s="4">
        <v>7.6</v>
      </c>
      <c r="J425" s="4">
        <v>3</v>
      </c>
      <c r="K425" s="5">
        <f t="shared" si="6"/>
        <v>0.22859999999999997</v>
      </c>
    </row>
    <row r="426" spans="1:11" x14ac:dyDescent="0.2">
      <c r="A426" s="3">
        <v>44570</v>
      </c>
      <c r="B426" s="4" t="s">
        <v>10</v>
      </c>
      <c r="C426" s="4">
        <v>6.2</v>
      </c>
      <c r="D426" s="4">
        <v>1.3</v>
      </c>
      <c r="E426" s="4">
        <v>4.0999999999999996</v>
      </c>
      <c r="F426" s="4">
        <v>1.1000000000000001</v>
      </c>
      <c r="G426" s="4">
        <v>8.9999999999999993E-3</v>
      </c>
      <c r="H426" s="4" t="s">
        <v>11</v>
      </c>
      <c r="I426" s="4">
        <v>12.1</v>
      </c>
      <c r="J426" s="4">
        <v>1</v>
      </c>
      <c r="K426" s="5">
        <f t="shared" si="6"/>
        <v>0.22859999999999997</v>
      </c>
    </row>
    <row r="427" spans="1:11" x14ac:dyDescent="0.2">
      <c r="A427" s="3">
        <v>45011</v>
      </c>
      <c r="B427" s="4" t="s">
        <v>10</v>
      </c>
      <c r="C427" s="4">
        <v>6.7</v>
      </c>
      <c r="D427" s="4">
        <v>2.2000000000000002</v>
      </c>
      <c r="E427" s="4">
        <v>4.8</v>
      </c>
      <c r="F427" s="4">
        <v>1.8</v>
      </c>
      <c r="G427" s="4">
        <v>8.9999999999999993E-3</v>
      </c>
      <c r="H427" s="4" t="s">
        <v>11</v>
      </c>
      <c r="I427" s="4">
        <v>12.9</v>
      </c>
      <c r="J427" s="4">
        <v>3</v>
      </c>
      <c r="K427" s="5">
        <f t="shared" si="6"/>
        <v>0.22859999999999997</v>
      </c>
    </row>
    <row r="428" spans="1:11" x14ac:dyDescent="0.2">
      <c r="A428" s="3">
        <v>44941</v>
      </c>
      <c r="B428" s="4" t="s">
        <v>10</v>
      </c>
      <c r="C428" s="4">
        <v>6.9</v>
      </c>
      <c r="D428" s="4">
        <v>-0.1</v>
      </c>
      <c r="E428" s="4">
        <v>3.9</v>
      </c>
      <c r="F428" s="4">
        <v>0</v>
      </c>
      <c r="G428" s="4">
        <v>8.9999999999999993E-3</v>
      </c>
      <c r="H428" s="4" t="s">
        <v>11</v>
      </c>
      <c r="I428" s="4">
        <v>25.4</v>
      </c>
      <c r="J428" s="4">
        <v>3</v>
      </c>
      <c r="K428" s="5">
        <f t="shared" si="6"/>
        <v>0.22859999999999997</v>
      </c>
    </row>
    <row r="429" spans="1:11" x14ac:dyDescent="0.2">
      <c r="A429" s="3">
        <v>44879</v>
      </c>
      <c r="B429" s="4" t="s">
        <v>10</v>
      </c>
      <c r="C429" s="4">
        <v>10.199999999999999</v>
      </c>
      <c r="D429" s="4">
        <v>8.8000000000000007</v>
      </c>
      <c r="E429" s="4">
        <v>9.1999999999999993</v>
      </c>
      <c r="F429" s="4">
        <v>7.7</v>
      </c>
      <c r="G429" s="4">
        <v>8.9999999999999993E-3</v>
      </c>
      <c r="H429" s="4" t="s">
        <v>11</v>
      </c>
      <c r="I429" s="4">
        <v>9.1999999999999993</v>
      </c>
      <c r="J429" s="4">
        <v>1</v>
      </c>
      <c r="K429" s="5">
        <f t="shared" si="6"/>
        <v>0.22859999999999997</v>
      </c>
    </row>
    <row r="430" spans="1:11" x14ac:dyDescent="0.2">
      <c r="A430" s="3">
        <v>44848</v>
      </c>
      <c r="B430" s="4" t="s">
        <v>10</v>
      </c>
      <c r="C430" s="4">
        <v>14.9</v>
      </c>
      <c r="D430" s="4">
        <v>7</v>
      </c>
      <c r="E430" s="4">
        <v>10.4</v>
      </c>
      <c r="F430" s="4">
        <v>9.4</v>
      </c>
      <c r="G430" s="4">
        <v>8.9999999999999993E-3</v>
      </c>
      <c r="H430" s="4" t="s">
        <v>11</v>
      </c>
      <c r="I430" s="4">
        <v>13.5</v>
      </c>
      <c r="J430" s="4">
        <v>5</v>
      </c>
      <c r="K430" s="5">
        <f t="shared" si="6"/>
        <v>0.22859999999999997</v>
      </c>
    </row>
    <row r="431" spans="1:11" x14ac:dyDescent="0.2">
      <c r="A431" s="3">
        <v>45198</v>
      </c>
      <c r="B431" s="4" t="s">
        <v>10</v>
      </c>
      <c r="C431" s="4">
        <v>16.8</v>
      </c>
      <c r="D431" s="4">
        <v>11.4</v>
      </c>
      <c r="E431" s="4">
        <v>13.8</v>
      </c>
      <c r="F431" s="4">
        <v>13.8</v>
      </c>
      <c r="G431" s="4">
        <v>8.9999999999999993E-3</v>
      </c>
      <c r="H431" s="4" t="s">
        <v>11</v>
      </c>
      <c r="I431" s="4">
        <v>16.7</v>
      </c>
      <c r="J431" s="4">
        <v>5</v>
      </c>
      <c r="K431" s="5">
        <f t="shared" si="6"/>
        <v>0.22859999999999997</v>
      </c>
    </row>
    <row r="432" spans="1:11" x14ac:dyDescent="0.2">
      <c r="A432" s="3">
        <v>44791</v>
      </c>
      <c r="B432" s="4" t="s">
        <v>10</v>
      </c>
      <c r="C432" s="4">
        <v>20.8</v>
      </c>
      <c r="D432" s="4">
        <v>10.1</v>
      </c>
      <c r="E432" s="4">
        <v>15.8</v>
      </c>
      <c r="F432" s="4">
        <v>15.8</v>
      </c>
      <c r="G432" s="4">
        <v>8.9999999999999993E-3</v>
      </c>
      <c r="H432" s="4" t="s">
        <v>11</v>
      </c>
      <c r="I432" s="4">
        <v>15</v>
      </c>
      <c r="J432" s="4">
        <v>4</v>
      </c>
      <c r="K432" s="5">
        <f t="shared" si="6"/>
        <v>0.22859999999999997</v>
      </c>
    </row>
    <row r="433" spans="1:11" x14ac:dyDescent="0.2">
      <c r="A433" s="3">
        <v>44928</v>
      </c>
      <c r="B433" s="4" t="s">
        <v>10</v>
      </c>
      <c r="C433" s="4">
        <v>5.3</v>
      </c>
      <c r="D433" s="4">
        <v>-1.1000000000000001</v>
      </c>
      <c r="E433" s="4">
        <v>2.7</v>
      </c>
      <c r="F433" s="4">
        <v>-0.3</v>
      </c>
      <c r="G433" s="4">
        <v>8.0000000000000002E-3</v>
      </c>
      <c r="H433" s="4" t="s">
        <v>11</v>
      </c>
      <c r="I433" s="4">
        <v>9.4</v>
      </c>
      <c r="J433" s="4">
        <v>2</v>
      </c>
      <c r="K433" s="5">
        <f t="shared" si="6"/>
        <v>0.20319999999999999</v>
      </c>
    </row>
    <row r="434" spans="1:11" x14ac:dyDescent="0.2">
      <c r="A434" s="3">
        <v>45041</v>
      </c>
      <c r="B434" s="4" t="s">
        <v>10</v>
      </c>
      <c r="C434" s="4">
        <v>9.1</v>
      </c>
      <c r="D434" s="4">
        <v>-0.5</v>
      </c>
      <c r="E434" s="4">
        <v>4.5999999999999996</v>
      </c>
      <c r="F434" s="4">
        <v>2.1</v>
      </c>
      <c r="G434" s="4">
        <v>8.0000000000000002E-3</v>
      </c>
      <c r="H434" s="4" t="s">
        <v>12</v>
      </c>
      <c r="I434" s="4">
        <v>11.2</v>
      </c>
      <c r="J434" s="4">
        <v>9</v>
      </c>
      <c r="K434" s="5">
        <f t="shared" si="6"/>
        <v>0.20319999999999999</v>
      </c>
    </row>
    <row r="435" spans="1:11" x14ac:dyDescent="0.2">
      <c r="A435" s="3">
        <v>45247</v>
      </c>
      <c r="B435" s="4" t="s">
        <v>10</v>
      </c>
      <c r="C435" s="4">
        <v>9.1</v>
      </c>
      <c r="D435" s="4">
        <v>4.3</v>
      </c>
      <c r="E435" s="4">
        <v>6.1</v>
      </c>
      <c r="F435" s="4">
        <v>4.3</v>
      </c>
      <c r="G435" s="4">
        <v>8.0000000000000002E-3</v>
      </c>
      <c r="H435" s="4" t="s">
        <v>11</v>
      </c>
      <c r="I435" s="4">
        <v>8.1</v>
      </c>
      <c r="J435" s="4">
        <v>3</v>
      </c>
      <c r="K435" s="5">
        <f t="shared" si="6"/>
        <v>0.20319999999999999</v>
      </c>
    </row>
    <row r="436" spans="1:11" x14ac:dyDescent="0.2">
      <c r="A436" s="3">
        <v>44599</v>
      </c>
      <c r="B436" s="4" t="s">
        <v>10</v>
      </c>
      <c r="C436" s="4">
        <v>9.9</v>
      </c>
      <c r="D436" s="4">
        <v>-0.8</v>
      </c>
      <c r="E436" s="4">
        <v>4.8</v>
      </c>
      <c r="F436" s="4">
        <v>1.2</v>
      </c>
      <c r="G436" s="4">
        <v>8.0000000000000002E-3</v>
      </c>
      <c r="H436" s="4" t="s">
        <v>11</v>
      </c>
      <c r="I436" s="4">
        <v>18.399999999999999</v>
      </c>
      <c r="J436" s="4">
        <v>2</v>
      </c>
      <c r="K436" s="5">
        <f t="shared" si="6"/>
        <v>0.20319999999999999</v>
      </c>
    </row>
    <row r="437" spans="1:11" x14ac:dyDescent="0.2">
      <c r="A437" s="3">
        <v>44960</v>
      </c>
      <c r="B437" s="4" t="s">
        <v>10</v>
      </c>
      <c r="C437" s="4">
        <v>11.7</v>
      </c>
      <c r="D437" s="4">
        <v>8</v>
      </c>
      <c r="E437" s="4">
        <v>10.1</v>
      </c>
      <c r="F437" s="4">
        <v>9</v>
      </c>
      <c r="G437" s="4">
        <v>8.0000000000000002E-3</v>
      </c>
      <c r="H437" s="4" t="s">
        <v>11</v>
      </c>
      <c r="I437" s="4">
        <v>18.2</v>
      </c>
      <c r="J437" s="4">
        <v>2</v>
      </c>
      <c r="K437" s="5">
        <f t="shared" si="6"/>
        <v>0.20319999999999999</v>
      </c>
    </row>
    <row r="438" spans="1:11" x14ac:dyDescent="0.2">
      <c r="A438" s="3">
        <v>44670</v>
      </c>
      <c r="B438" s="4" t="s">
        <v>10</v>
      </c>
      <c r="C438" s="4">
        <v>12.6</v>
      </c>
      <c r="D438" s="4">
        <v>5.8</v>
      </c>
      <c r="E438" s="4">
        <v>9.1</v>
      </c>
      <c r="F438" s="4">
        <v>8.1999999999999993</v>
      </c>
      <c r="G438" s="4">
        <v>8.0000000000000002E-3</v>
      </c>
      <c r="H438" s="4" t="s">
        <v>11</v>
      </c>
      <c r="I438" s="4">
        <v>7.7</v>
      </c>
      <c r="J438" s="4">
        <v>4</v>
      </c>
      <c r="K438" s="5">
        <f t="shared" si="6"/>
        <v>0.20319999999999999</v>
      </c>
    </row>
    <row r="439" spans="1:11" x14ac:dyDescent="0.2">
      <c r="A439" s="3">
        <v>44859</v>
      </c>
      <c r="B439" s="4" t="s">
        <v>10</v>
      </c>
      <c r="C439" s="4">
        <v>14.7</v>
      </c>
      <c r="D439" s="4">
        <v>9.1</v>
      </c>
      <c r="E439" s="4">
        <v>11.9</v>
      </c>
      <c r="F439" s="4">
        <v>11.9</v>
      </c>
      <c r="G439" s="4">
        <v>8.0000000000000002E-3</v>
      </c>
      <c r="H439" s="4" t="s">
        <v>11</v>
      </c>
      <c r="I439" s="4">
        <v>11.8</v>
      </c>
      <c r="J439" s="4">
        <v>3</v>
      </c>
      <c r="K439" s="5">
        <f t="shared" si="6"/>
        <v>0.20319999999999999</v>
      </c>
    </row>
    <row r="440" spans="1:11" x14ac:dyDescent="0.2">
      <c r="A440" s="3">
        <v>45207</v>
      </c>
      <c r="B440" s="4" t="s">
        <v>10</v>
      </c>
      <c r="C440" s="4">
        <v>17.8</v>
      </c>
      <c r="D440" s="4">
        <v>12</v>
      </c>
      <c r="E440" s="4">
        <v>14.8</v>
      </c>
      <c r="F440" s="4">
        <v>14.8</v>
      </c>
      <c r="G440" s="4">
        <v>8.0000000000000002E-3</v>
      </c>
      <c r="H440" s="4" t="s">
        <v>11</v>
      </c>
      <c r="I440" s="4">
        <v>10.199999999999999</v>
      </c>
      <c r="J440" s="4">
        <v>3</v>
      </c>
      <c r="K440" s="5">
        <f t="shared" si="6"/>
        <v>0.20319999999999999</v>
      </c>
    </row>
    <row r="441" spans="1:11" x14ac:dyDescent="0.2">
      <c r="A441" s="3">
        <v>45127</v>
      </c>
      <c r="B441" s="4" t="s">
        <v>10</v>
      </c>
      <c r="C441" s="4">
        <v>17.899999999999999</v>
      </c>
      <c r="D441" s="4">
        <v>10.4</v>
      </c>
      <c r="E441" s="4">
        <v>14.2</v>
      </c>
      <c r="F441" s="4">
        <v>14.2</v>
      </c>
      <c r="G441" s="4">
        <v>8.0000000000000002E-3</v>
      </c>
      <c r="H441" s="4" t="s">
        <v>11</v>
      </c>
      <c r="I441" s="4">
        <v>11</v>
      </c>
      <c r="J441" s="4">
        <v>10</v>
      </c>
      <c r="K441" s="5">
        <f t="shared" si="6"/>
        <v>0.20319999999999999</v>
      </c>
    </row>
    <row r="442" spans="1:11" x14ac:dyDescent="0.2">
      <c r="A442" s="3">
        <v>45094</v>
      </c>
      <c r="B442" s="4" t="s">
        <v>10</v>
      </c>
      <c r="C442" s="4">
        <v>20.3</v>
      </c>
      <c r="D442" s="4">
        <v>9.8000000000000007</v>
      </c>
      <c r="E442" s="4">
        <v>16.2</v>
      </c>
      <c r="F442" s="4">
        <v>16.2</v>
      </c>
      <c r="G442" s="4">
        <v>8.0000000000000002E-3</v>
      </c>
      <c r="H442" s="4" t="s">
        <v>11</v>
      </c>
      <c r="I442" s="4">
        <v>9.3000000000000007</v>
      </c>
      <c r="J442" s="4">
        <v>4</v>
      </c>
      <c r="K442" s="5">
        <f t="shared" si="6"/>
        <v>0.20319999999999999</v>
      </c>
    </row>
    <row r="443" spans="1:11" x14ac:dyDescent="0.2">
      <c r="A443" s="3">
        <v>44759</v>
      </c>
      <c r="B443" s="4" t="s">
        <v>10</v>
      </c>
      <c r="C443" s="4">
        <v>28.8</v>
      </c>
      <c r="D443" s="4">
        <v>13.1</v>
      </c>
      <c r="E443" s="4">
        <v>21</v>
      </c>
      <c r="F443" s="4">
        <v>20.8</v>
      </c>
      <c r="G443" s="4">
        <v>8.0000000000000002E-3</v>
      </c>
      <c r="H443" s="4" t="s">
        <v>11</v>
      </c>
      <c r="I443" s="4">
        <v>11.9</v>
      </c>
      <c r="J443" s="4">
        <v>6</v>
      </c>
      <c r="K443" s="5">
        <f t="shared" si="6"/>
        <v>0.20319999999999999</v>
      </c>
    </row>
    <row r="444" spans="1:11" x14ac:dyDescent="0.2">
      <c r="A444" s="3">
        <v>44905</v>
      </c>
      <c r="B444" s="4" t="s">
        <v>10</v>
      </c>
      <c r="C444" s="4">
        <v>0.9</v>
      </c>
      <c r="D444" s="4">
        <v>-3.1</v>
      </c>
      <c r="E444" s="4">
        <v>-1.1000000000000001</v>
      </c>
      <c r="F444" s="4">
        <v>-3.2</v>
      </c>
      <c r="G444" s="4">
        <v>7.0000000000000001E-3</v>
      </c>
      <c r="H444" s="4" t="s">
        <v>12</v>
      </c>
      <c r="I444" s="4">
        <v>7.2</v>
      </c>
      <c r="J444" s="4">
        <v>1</v>
      </c>
      <c r="K444" s="5">
        <f t="shared" si="6"/>
        <v>0.17779999999999999</v>
      </c>
    </row>
    <row r="445" spans="1:11" x14ac:dyDescent="0.2">
      <c r="A445" s="3">
        <v>44971</v>
      </c>
      <c r="B445" s="4" t="s">
        <v>10</v>
      </c>
      <c r="C445" s="4">
        <v>6.1</v>
      </c>
      <c r="D445" s="4">
        <v>0.3</v>
      </c>
      <c r="E445" s="4">
        <v>2.7</v>
      </c>
      <c r="F445" s="4">
        <v>-0.2</v>
      </c>
      <c r="G445" s="4">
        <v>7.0000000000000001E-3</v>
      </c>
      <c r="H445" s="4" t="s">
        <v>12</v>
      </c>
      <c r="I445" s="4">
        <v>9.1999999999999993</v>
      </c>
      <c r="J445" s="4">
        <v>4</v>
      </c>
      <c r="K445" s="5">
        <f t="shared" si="6"/>
        <v>0.17779999999999999</v>
      </c>
    </row>
    <row r="446" spans="1:11" x14ac:dyDescent="0.2">
      <c r="A446" s="3">
        <v>45213</v>
      </c>
      <c r="B446" s="4" t="s">
        <v>10</v>
      </c>
      <c r="C446" s="4">
        <v>10.5</v>
      </c>
      <c r="D446" s="4">
        <v>4.7</v>
      </c>
      <c r="E446" s="4">
        <v>7.6</v>
      </c>
      <c r="F446" s="4">
        <v>5.0999999999999996</v>
      </c>
      <c r="G446" s="4">
        <v>7.0000000000000001E-3</v>
      </c>
      <c r="H446" s="4" t="s">
        <v>11</v>
      </c>
      <c r="I446" s="4">
        <v>16.600000000000001</v>
      </c>
      <c r="J446" s="4">
        <v>6</v>
      </c>
      <c r="K446" s="5">
        <f t="shared" si="6"/>
        <v>0.17779999999999999</v>
      </c>
    </row>
    <row r="447" spans="1:11" x14ac:dyDescent="0.2">
      <c r="A447" s="3">
        <v>45043</v>
      </c>
      <c r="B447" s="4" t="s">
        <v>10</v>
      </c>
      <c r="C447" s="4">
        <v>11.3</v>
      </c>
      <c r="D447" s="4">
        <v>1.1000000000000001</v>
      </c>
      <c r="E447" s="4">
        <v>6.9</v>
      </c>
      <c r="F447" s="4">
        <v>5.7</v>
      </c>
      <c r="G447" s="4">
        <v>7.0000000000000001E-3</v>
      </c>
      <c r="H447" s="4" t="s">
        <v>11</v>
      </c>
      <c r="I447" s="4">
        <v>14.9</v>
      </c>
      <c r="J447" s="4">
        <v>5</v>
      </c>
      <c r="K447" s="5">
        <f t="shared" si="6"/>
        <v>0.17779999999999999</v>
      </c>
    </row>
    <row r="448" spans="1:11" x14ac:dyDescent="0.2">
      <c r="A448" s="3">
        <v>44593</v>
      </c>
      <c r="B448" s="4" t="s">
        <v>10</v>
      </c>
      <c r="C448" s="4">
        <v>11.4</v>
      </c>
      <c r="D448" s="4">
        <v>6.1</v>
      </c>
      <c r="E448" s="4">
        <v>9.3000000000000007</v>
      </c>
      <c r="F448" s="4">
        <v>7</v>
      </c>
      <c r="G448" s="4">
        <v>7.0000000000000001E-3</v>
      </c>
      <c r="H448" s="4" t="s">
        <v>11</v>
      </c>
      <c r="I448" s="4">
        <v>25.9</v>
      </c>
      <c r="J448" s="4">
        <v>2</v>
      </c>
      <c r="K448" s="5">
        <f t="shared" si="6"/>
        <v>0.17779999999999999</v>
      </c>
    </row>
    <row r="449" spans="1:11" x14ac:dyDescent="0.2">
      <c r="A449" s="3">
        <v>45221</v>
      </c>
      <c r="B449" s="4" t="s">
        <v>10</v>
      </c>
      <c r="C449" s="4">
        <v>12.1</v>
      </c>
      <c r="D449" s="4">
        <v>3.1</v>
      </c>
      <c r="E449" s="4">
        <v>6.7</v>
      </c>
      <c r="F449" s="4">
        <v>5.4</v>
      </c>
      <c r="G449" s="4">
        <v>7.0000000000000001E-3</v>
      </c>
      <c r="H449" s="4" t="s">
        <v>11</v>
      </c>
      <c r="I449" s="4">
        <v>10.3</v>
      </c>
      <c r="J449" s="4">
        <v>5</v>
      </c>
      <c r="K449" s="5">
        <f t="shared" si="6"/>
        <v>0.17779999999999999</v>
      </c>
    </row>
    <row r="450" spans="1:11" x14ac:dyDescent="0.2">
      <c r="A450" s="3">
        <v>44730</v>
      </c>
      <c r="B450" s="4" t="s">
        <v>10</v>
      </c>
      <c r="C450" s="4">
        <v>16.600000000000001</v>
      </c>
      <c r="D450" s="4">
        <v>10.4</v>
      </c>
      <c r="E450" s="4">
        <v>13.7</v>
      </c>
      <c r="F450" s="4">
        <v>13.7</v>
      </c>
      <c r="G450" s="4">
        <v>7.0000000000000001E-3</v>
      </c>
      <c r="H450" s="4" t="s">
        <v>11</v>
      </c>
      <c r="I450" s="4">
        <v>12.4</v>
      </c>
      <c r="J450" s="4">
        <v>7</v>
      </c>
      <c r="K450" s="5">
        <f t="shared" ref="K450:K513" si="7">SUM(G450*25.4)</f>
        <v>0.17779999999999999</v>
      </c>
    </row>
    <row r="451" spans="1:11" x14ac:dyDescent="0.2">
      <c r="A451" s="3">
        <v>44696</v>
      </c>
      <c r="B451" s="4" t="s">
        <v>10</v>
      </c>
      <c r="C451" s="4">
        <v>17.3</v>
      </c>
      <c r="D451" s="4">
        <v>8.1999999999999993</v>
      </c>
      <c r="E451" s="4">
        <v>12.4</v>
      </c>
      <c r="F451" s="4">
        <v>12.2</v>
      </c>
      <c r="G451" s="4">
        <v>7.0000000000000001E-3</v>
      </c>
      <c r="H451" s="4" t="s">
        <v>11</v>
      </c>
      <c r="I451" s="4">
        <v>16.899999999999999</v>
      </c>
      <c r="J451" s="4">
        <v>6</v>
      </c>
      <c r="K451" s="5">
        <f t="shared" si="7"/>
        <v>0.17779999999999999</v>
      </c>
    </row>
    <row r="452" spans="1:11" x14ac:dyDescent="0.2">
      <c r="A452" s="3">
        <v>45136</v>
      </c>
      <c r="B452" s="4" t="s">
        <v>10</v>
      </c>
      <c r="C452" s="4">
        <v>20.2</v>
      </c>
      <c r="D452" s="4">
        <v>14.2</v>
      </c>
      <c r="E452" s="4">
        <v>16.7</v>
      </c>
      <c r="F452" s="4">
        <v>16.7</v>
      </c>
      <c r="G452" s="4">
        <v>7.0000000000000001E-3</v>
      </c>
      <c r="H452" s="4" t="s">
        <v>11</v>
      </c>
      <c r="I452" s="4">
        <v>18.100000000000001</v>
      </c>
      <c r="J452" s="4">
        <v>9</v>
      </c>
      <c r="K452" s="5">
        <f t="shared" si="7"/>
        <v>0.17779999999999999</v>
      </c>
    </row>
    <row r="453" spans="1:11" x14ac:dyDescent="0.2">
      <c r="A453" s="3">
        <v>44948</v>
      </c>
      <c r="B453" s="4" t="s">
        <v>10</v>
      </c>
      <c r="C453" s="4">
        <v>1.2</v>
      </c>
      <c r="D453" s="4">
        <v>-3</v>
      </c>
      <c r="E453" s="4">
        <v>-0.5</v>
      </c>
      <c r="F453" s="4">
        <v>-3.8</v>
      </c>
      <c r="G453" s="4">
        <v>6.0000000000000001E-3</v>
      </c>
      <c r="H453" s="4" t="s">
        <v>12</v>
      </c>
      <c r="I453" s="4">
        <v>7.9</v>
      </c>
      <c r="J453" s="4">
        <v>1</v>
      </c>
      <c r="K453" s="5">
        <f t="shared" si="7"/>
        <v>0.15240000000000001</v>
      </c>
    </row>
    <row r="454" spans="1:11" x14ac:dyDescent="0.2">
      <c r="A454" s="3">
        <v>44912</v>
      </c>
      <c r="B454" s="4" t="s">
        <v>10</v>
      </c>
      <c r="C454" s="4">
        <v>2.2000000000000002</v>
      </c>
      <c r="D454" s="4">
        <v>-1.7</v>
      </c>
      <c r="E454" s="4">
        <v>0.6</v>
      </c>
      <c r="F454" s="4">
        <v>-3.8</v>
      </c>
      <c r="G454" s="4">
        <v>6.0000000000000001E-3</v>
      </c>
      <c r="H454" s="4" t="s">
        <v>12</v>
      </c>
      <c r="I454" s="4">
        <v>11.9</v>
      </c>
      <c r="J454" s="4">
        <v>1</v>
      </c>
      <c r="K454" s="5">
        <f t="shared" si="7"/>
        <v>0.15240000000000001</v>
      </c>
    </row>
    <row r="455" spans="1:11" x14ac:dyDescent="0.2">
      <c r="A455" s="3">
        <v>44904</v>
      </c>
      <c r="B455" s="4" t="s">
        <v>10</v>
      </c>
      <c r="C455" s="4">
        <v>2.8</v>
      </c>
      <c r="D455" s="4">
        <v>-3.7</v>
      </c>
      <c r="E455" s="4">
        <v>-0.9</v>
      </c>
      <c r="F455" s="4">
        <v>-4.2</v>
      </c>
      <c r="G455" s="4">
        <v>6.0000000000000001E-3</v>
      </c>
      <c r="H455" s="4" t="s">
        <v>11</v>
      </c>
      <c r="I455" s="4">
        <v>9.3000000000000007</v>
      </c>
      <c r="J455" s="4">
        <v>2</v>
      </c>
      <c r="K455" s="5">
        <f t="shared" si="7"/>
        <v>0.15240000000000001</v>
      </c>
    </row>
    <row r="456" spans="1:11" x14ac:dyDescent="0.2">
      <c r="A456" s="3">
        <v>44945</v>
      </c>
      <c r="B456" s="4" t="s">
        <v>10</v>
      </c>
      <c r="C456" s="4">
        <v>3.2</v>
      </c>
      <c r="D456" s="4">
        <v>-3.7</v>
      </c>
      <c r="E456" s="4">
        <v>0.3</v>
      </c>
      <c r="F456" s="4">
        <v>-3.4</v>
      </c>
      <c r="G456" s="4">
        <v>6.0000000000000001E-3</v>
      </c>
      <c r="H456" s="4" t="s">
        <v>12</v>
      </c>
      <c r="I456" s="4">
        <v>14.8</v>
      </c>
      <c r="J456" s="4">
        <v>3</v>
      </c>
      <c r="K456" s="5">
        <f t="shared" si="7"/>
        <v>0.15240000000000001</v>
      </c>
    </row>
    <row r="457" spans="1:11" x14ac:dyDescent="0.2">
      <c r="A457" s="3">
        <v>44987</v>
      </c>
      <c r="B457" s="4" t="s">
        <v>10</v>
      </c>
      <c r="C457" s="4">
        <v>5.7</v>
      </c>
      <c r="D457" s="4">
        <v>3.4</v>
      </c>
      <c r="E457" s="4">
        <v>4.5999999999999996</v>
      </c>
      <c r="F457" s="4">
        <v>2.7</v>
      </c>
      <c r="G457" s="4">
        <v>6.0000000000000001E-3</v>
      </c>
      <c r="H457" s="4" t="s">
        <v>11</v>
      </c>
      <c r="I457" s="4">
        <v>5.9</v>
      </c>
      <c r="J457" s="4">
        <v>2</v>
      </c>
      <c r="K457" s="5">
        <f t="shared" si="7"/>
        <v>0.15240000000000001</v>
      </c>
    </row>
    <row r="458" spans="1:11" x14ac:dyDescent="0.2">
      <c r="A458" s="3">
        <v>45246</v>
      </c>
      <c r="B458" s="4" t="s">
        <v>10</v>
      </c>
      <c r="C458" s="4">
        <v>7.6</v>
      </c>
      <c r="D458" s="4">
        <v>5.3</v>
      </c>
      <c r="E458" s="4">
        <v>6.3</v>
      </c>
      <c r="F458" s="4">
        <v>5.5</v>
      </c>
      <c r="G458" s="4">
        <v>6.0000000000000001E-3</v>
      </c>
      <c r="H458" s="4" t="s">
        <v>11</v>
      </c>
      <c r="I458" s="4">
        <v>5.4</v>
      </c>
      <c r="J458" s="4">
        <v>1</v>
      </c>
      <c r="K458" s="5">
        <f t="shared" si="7"/>
        <v>0.15240000000000001</v>
      </c>
    </row>
    <row r="459" spans="1:11" x14ac:dyDescent="0.2">
      <c r="A459" s="3">
        <v>44583</v>
      </c>
      <c r="B459" s="4" t="s">
        <v>10</v>
      </c>
      <c r="C459" s="4">
        <v>7.7</v>
      </c>
      <c r="D459" s="4">
        <v>-0.3</v>
      </c>
      <c r="E459" s="4">
        <v>3.3</v>
      </c>
      <c r="F459" s="4">
        <v>0.7</v>
      </c>
      <c r="G459" s="4">
        <v>6.0000000000000001E-3</v>
      </c>
      <c r="H459" s="4" t="s">
        <v>11</v>
      </c>
      <c r="I459" s="4">
        <v>9.8000000000000007</v>
      </c>
      <c r="J459" s="4">
        <v>2</v>
      </c>
      <c r="K459" s="5">
        <f t="shared" si="7"/>
        <v>0.15240000000000001</v>
      </c>
    </row>
    <row r="460" spans="1:11" x14ac:dyDescent="0.2">
      <c r="A460" s="3">
        <v>44957</v>
      </c>
      <c r="B460" s="4" t="s">
        <v>10</v>
      </c>
      <c r="C460" s="4">
        <v>8.6</v>
      </c>
      <c r="D460" s="4">
        <v>5.9</v>
      </c>
      <c r="E460" s="4">
        <v>7.2</v>
      </c>
      <c r="F460" s="4">
        <v>2.9</v>
      </c>
      <c r="G460" s="4">
        <v>6.0000000000000001E-3</v>
      </c>
      <c r="H460" s="4" t="s">
        <v>11</v>
      </c>
      <c r="I460" s="4">
        <v>26.8</v>
      </c>
      <c r="J460" s="4">
        <v>3</v>
      </c>
      <c r="K460" s="5">
        <f t="shared" si="7"/>
        <v>0.15240000000000001</v>
      </c>
    </row>
    <row r="461" spans="1:11" x14ac:dyDescent="0.2">
      <c r="A461" s="3">
        <v>44972</v>
      </c>
      <c r="B461" s="4" t="s">
        <v>10</v>
      </c>
      <c r="C461" s="4">
        <v>9.4</v>
      </c>
      <c r="D461" s="4">
        <v>1.4</v>
      </c>
      <c r="E461" s="4">
        <v>4.7</v>
      </c>
      <c r="F461" s="4">
        <v>1.6</v>
      </c>
      <c r="G461" s="4">
        <v>6.0000000000000001E-3</v>
      </c>
      <c r="H461" s="4" t="s">
        <v>11</v>
      </c>
      <c r="I461" s="4">
        <v>13.1</v>
      </c>
      <c r="J461" s="4">
        <v>3</v>
      </c>
      <c r="K461" s="5">
        <f t="shared" si="7"/>
        <v>0.15240000000000001</v>
      </c>
    </row>
    <row r="462" spans="1:11" x14ac:dyDescent="0.2">
      <c r="A462" s="3">
        <v>45065</v>
      </c>
      <c r="B462" s="4" t="s">
        <v>10</v>
      </c>
      <c r="C462" s="4">
        <v>15.5</v>
      </c>
      <c r="D462" s="4">
        <v>9.1</v>
      </c>
      <c r="E462" s="4">
        <v>12.1</v>
      </c>
      <c r="F462" s="4">
        <v>12</v>
      </c>
      <c r="G462" s="4">
        <v>6.0000000000000001E-3</v>
      </c>
      <c r="H462" s="4" t="s">
        <v>11</v>
      </c>
      <c r="I462" s="4">
        <v>8.3000000000000007</v>
      </c>
      <c r="J462" s="4">
        <v>8</v>
      </c>
      <c r="K462" s="5">
        <f t="shared" si="7"/>
        <v>0.15240000000000001</v>
      </c>
    </row>
    <row r="463" spans="1:11" x14ac:dyDescent="0.2">
      <c r="A463" s="3">
        <v>44836</v>
      </c>
      <c r="B463" s="4" t="s">
        <v>10</v>
      </c>
      <c r="C463" s="4">
        <v>15.8</v>
      </c>
      <c r="D463" s="4">
        <v>7.1</v>
      </c>
      <c r="E463" s="4">
        <v>11.7</v>
      </c>
      <c r="F463" s="4">
        <v>11.3</v>
      </c>
      <c r="G463" s="4">
        <v>6.0000000000000001E-3</v>
      </c>
      <c r="H463" s="4" t="s">
        <v>11</v>
      </c>
      <c r="I463" s="4">
        <v>11.1</v>
      </c>
      <c r="J463" s="4">
        <v>6</v>
      </c>
      <c r="K463" s="5">
        <f t="shared" si="7"/>
        <v>0.15240000000000001</v>
      </c>
    </row>
    <row r="464" spans="1:11" x14ac:dyDescent="0.2">
      <c r="A464" s="3">
        <v>44803</v>
      </c>
      <c r="B464" s="4" t="s">
        <v>10</v>
      </c>
      <c r="C464" s="4">
        <v>17.899999999999999</v>
      </c>
      <c r="D464" s="4">
        <v>10.3</v>
      </c>
      <c r="E464" s="4">
        <v>14.2</v>
      </c>
      <c r="F464" s="4">
        <v>14.2</v>
      </c>
      <c r="G464" s="4">
        <v>6.0000000000000001E-3</v>
      </c>
      <c r="H464" s="4" t="s">
        <v>11</v>
      </c>
      <c r="I464" s="4">
        <v>13.2</v>
      </c>
      <c r="J464" s="4">
        <v>6</v>
      </c>
      <c r="K464" s="5">
        <f t="shared" si="7"/>
        <v>0.15240000000000001</v>
      </c>
    </row>
    <row r="465" spans="1:11" x14ac:dyDescent="0.2">
      <c r="A465" s="3">
        <v>45103</v>
      </c>
      <c r="B465" s="4" t="s">
        <v>10</v>
      </c>
      <c r="C465" s="4">
        <v>19.2</v>
      </c>
      <c r="D465" s="4">
        <v>12.6</v>
      </c>
      <c r="E465" s="4">
        <v>16.100000000000001</v>
      </c>
      <c r="F465" s="4">
        <v>16.100000000000001</v>
      </c>
      <c r="G465" s="4">
        <v>6.0000000000000001E-3</v>
      </c>
      <c r="H465" s="4" t="s">
        <v>11</v>
      </c>
      <c r="I465" s="4">
        <v>18.3</v>
      </c>
      <c r="J465" s="4">
        <v>8</v>
      </c>
      <c r="K465" s="5">
        <f t="shared" si="7"/>
        <v>0.15240000000000001</v>
      </c>
    </row>
    <row r="466" spans="1:11" x14ac:dyDescent="0.2">
      <c r="A466" s="3">
        <v>44738</v>
      </c>
      <c r="B466" s="4" t="s">
        <v>10</v>
      </c>
      <c r="C466" s="4">
        <v>20.100000000000001</v>
      </c>
      <c r="D466" s="4">
        <v>8.9</v>
      </c>
      <c r="E466" s="4">
        <v>15.1</v>
      </c>
      <c r="F466" s="4">
        <v>14.8</v>
      </c>
      <c r="G466" s="4">
        <v>6.0000000000000001E-3</v>
      </c>
      <c r="H466" s="4" t="s">
        <v>11</v>
      </c>
      <c r="I466" s="4">
        <v>21.5</v>
      </c>
      <c r="J466" s="4">
        <v>8</v>
      </c>
      <c r="K466" s="5">
        <f t="shared" si="7"/>
        <v>0.15240000000000001</v>
      </c>
    </row>
    <row r="467" spans="1:11" x14ac:dyDescent="0.2">
      <c r="A467" s="3">
        <v>44774</v>
      </c>
      <c r="B467" s="4" t="s">
        <v>10</v>
      </c>
      <c r="C467" s="4">
        <v>22.6</v>
      </c>
      <c r="D467" s="4">
        <v>12</v>
      </c>
      <c r="E467" s="4">
        <v>16.899999999999999</v>
      </c>
      <c r="F467" s="4">
        <v>16.899999999999999</v>
      </c>
      <c r="G467" s="4">
        <v>6.0000000000000001E-3</v>
      </c>
      <c r="H467" s="4" t="s">
        <v>11</v>
      </c>
      <c r="I467" s="4">
        <v>13.4</v>
      </c>
      <c r="J467" s="4">
        <v>6</v>
      </c>
      <c r="K467" s="5">
        <f t="shared" si="7"/>
        <v>0.15240000000000001</v>
      </c>
    </row>
    <row r="468" spans="1:11" x14ac:dyDescent="0.2">
      <c r="A468" s="3">
        <v>45100</v>
      </c>
      <c r="B468" s="4" t="s">
        <v>10</v>
      </c>
      <c r="C468" s="4">
        <v>22.6</v>
      </c>
      <c r="D468" s="4">
        <v>12</v>
      </c>
      <c r="E468" s="4">
        <v>17.100000000000001</v>
      </c>
      <c r="F468" s="4">
        <v>17.100000000000001</v>
      </c>
      <c r="G468" s="4">
        <v>6.0000000000000001E-3</v>
      </c>
      <c r="H468" s="4" t="s">
        <v>11</v>
      </c>
      <c r="I468" s="4">
        <v>11.4</v>
      </c>
      <c r="J468" s="4">
        <v>7</v>
      </c>
      <c r="K468" s="5">
        <f t="shared" si="7"/>
        <v>0.15240000000000001</v>
      </c>
    </row>
    <row r="469" spans="1:11" x14ac:dyDescent="0.2">
      <c r="A469" s="3">
        <v>44579</v>
      </c>
      <c r="B469" s="4" t="s">
        <v>10</v>
      </c>
      <c r="C469" s="4">
        <v>5.4</v>
      </c>
      <c r="D469" s="4">
        <v>-2.2999999999999998</v>
      </c>
      <c r="E469" s="4">
        <v>1.3</v>
      </c>
      <c r="F469" s="4">
        <v>-1.1000000000000001</v>
      </c>
      <c r="G469" s="4">
        <v>5.0000000000000001E-3</v>
      </c>
      <c r="H469" s="4" t="s">
        <v>12</v>
      </c>
      <c r="I469" s="4">
        <v>10.7</v>
      </c>
      <c r="J469" s="4">
        <v>1</v>
      </c>
      <c r="K469" s="5">
        <f t="shared" si="7"/>
        <v>0.127</v>
      </c>
    </row>
    <row r="470" spans="1:11" x14ac:dyDescent="0.2">
      <c r="A470" s="3">
        <v>44587</v>
      </c>
      <c r="B470" s="4" t="s">
        <v>10</v>
      </c>
      <c r="C470" s="4">
        <v>8.3000000000000007</v>
      </c>
      <c r="D470" s="4">
        <v>-1</v>
      </c>
      <c r="E470" s="4">
        <v>4.5999999999999996</v>
      </c>
      <c r="F470" s="4">
        <v>1.2</v>
      </c>
      <c r="G470" s="4">
        <v>5.0000000000000001E-3</v>
      </c>
      <c r="H470" s="4" t="s">
        <v>11</v>
      </c>
      <c r="I470" s="4">
        <v>22.2</v>
      </c>
      <c r="J470" s="4">
        <v>1</v>
      </c>
      <c r="K470" s="5">
        <f t="shared" si="7"/>
        <v>0.127</v>
      </c>
    </row>
    <row r="471" spans="1:11" x14ac:dyDescent="0.2">
      <c r="A471" s="3">
        <v>45240</v>
      </c>
      <c r="B471" s="4" t="s">
        <v>10</v>
      </c>
      <c r="C471" s="4">
        <v>8.3000000000000007</v>
      </c>
      <c r="D471" s="4">
        <v>2.4</v>
      </c>
      <c r="E471" s="4">
        <v>4.9000000000000004</v>
      </c>
      <c r="F471" s="4">
        <v>2.4</v>
      </c>
      <c r="G471" s="4">
        <v>5.0000000000000001E-3</v>
      </c>
      <c r="H471" s="4" t="s">
        <v>11</v>
      </c>
      <c r="I471" s="4">
        <v>12.5</v>
      </c>
      <c r="J471" s="4">
        <v>4</v>
      </c>
      <c r="K471" s="5">
        <f t="shared" si="7"/>
        <v>0.127</v>
      </c>
    </row>
    <row r="472" spans="1:11" x14ac:dyDescent="0.2">
      <c r="A472" s="3">
        <v>44573</v>
      </c>
      <c r="B472" s="4" t="s">
        <v>10</v>
      </c>
      <c r="C472" s="4">
        <v>9</v>
      </c>
      <c r="D472" s="4">
        <v>0.2</v>
      </c>
      <c r="E472" s="4">
        <v>4.5999999999999996</v>
      </c>
      <c r="F472" s="4">
        <v>2.1</v>
      </c>
      <c r="G472" s="4">
        <v>5.0000000000000001E-3</v>
      </c>
      <c r="H472" s="4" t="s">
        <v>11</v>
      </c>
      <c r="I472" s="4">
        <v>9.4</v>
      </c>
      <c r="J472" s="4">
        <v>1</v>
      </c>
      <c r="K472" s="5">
        <f t="shared" si="7"/>
        <v>0.127</v>
      </c>
    </row>
    <row r="473" spans="1:11" x14ac:dyDescent="0.2">
      <c r="A473" s="3">
        <v>44878</v>
      </c>
      <c r="B473" s="4" t="s">
        <v>10</v>
      </c>
      <c r="C473" s="4">
        <v>10.4</v>
      </c>
      <c r="D473" s="4">
        <v>8.9</v>
      </c>
      <c r="E473" s="4">
        <v>9.6999999999999993</v>
      </c>
      <c r="F473" s="4">
        <v>8.4</v>
      </c>
      <c r="G473" s="4">
        <v>5.0000000000000001E-3</v>
      </c>
      <c r="H473" s="4" t="s">
        <v>11</v>
      </c>
      <c r="I473" s="4">
        <v>9.4</v>
      </c>
      <c r="J473" s="4">
        <v>0</v>
      </c>
      <c r="K473" s="5">
        <f t="shared" si="7"/>
        <v>0.127</v>
      </c>
    </row>
    <row r="474" spans="1:11" x14ac:dyDescent="0.2">
      <c r="A474" s="3">
        <v>44820</v>
      </c>
      <c r="B474" s="4" t="s">
        <v>10</v>
      </c>
      <c r="C474" s="4">
        <v>13.8</v>
      </c>
      <c r="D474" s="4">
        <v>7.2</v>
      </c>
      <c r="E474" s="4">
        <v>10.3</v>
      </c>
      <c r="F474" s="4">
        <v>9.3000000000000007</v>
      </c>
      <c r="G474" s="4">
        <v>5.0000000000000001E-3</v>
      </c>
      <c r="H474" s="4" t="s">
        <v>11</v>
      </c>
      <c r="I474" s="4">
        <v>18.2</v>
      </c>
      <c r="J474" s="4">
        <v>8</v>
      </c>
      <c r="K474" s="5">
        <f t="shared" si="7"/>
        <v>0.127</v>
      </c>
    </row>
    <row r="475" spans="1:11" x14ac:dyDescent="0.2">
      <c r="A475" s="3">
        <v>44823</v>
      </c>
      <c r="B475" s="4" t="s">
        <v>10</v>
      </c>
      <c r="C475" s="4">
        <v>14.9</v>
      </c>
      <c r="D475" s="4">
        <v>8.9</v>
      </c>
      <c r="E475" s="4">
        <v>11.3</v>
      </c>
      <c r="F475" s="4">
        <v>11.3</v>
      </c>
      <c r="G475" s="4">
        <v>5.0000000000000001E-3</v>
      </c>
      <c r="H475" s="4" t="s">
        <v>11</v>
      </c>
      <c r="I475" s="4">
        <v>5.7</v>
      </c>
      <c r="J475" s="4">
        <v>4</v>
      </c>
      <c r="K475" s="5">
        <f t="shared" si="7"/>
        <v>0.127</v>
      </c>
    </row>
    <row r="476" spans="1:11" x14ac:dyDescent="0.2">
      <c r="A476" s="3">
        <v>45047</v>
      </c>
      <c r="B476" s="4" t="s">
        <v>10</v>
      </c>
      <c r="C476" s="4">
        <v>15.2</v>
      </c>
      <c r="D476" s="4">
        <v>7.6</v>
      </c>
      <c r="E476" s="4">
        <v>10.8</v>
      </c>
      <c r="F476" s="4">
        <v>10.1</v>
      </c>
      <c r="G476" s="4">
        <v>5.0000000000000001E-3</v>
      </c>
      <c r="H476" s="4" t="s">
        <v>11</v>
      </c>
      <c r="I476" s="4">
        <v>13.8</v>
      </c>
      <c r="J476" s="4">
        <v>5</v>
      </c>
      <c r="K476" s="5">
        <f t="shared" si="7"/>
        <v>0.127</v>
      </c>
    </row>
    <row r="477" spans="1:11" x14ac:dyDescent="0.2">
      <c r="A477" s="3">
        <v>45109</v>
      </c>
      <c r="B477" s="4" t="s">
        <v>10</v>
      </c>
      <c r="C477" s="4">
        <v>16.3</v>
      </c>
      <c r="D477" s="4">
        <v>10.7</v>
      </c>
      <c r="E477" s="4">
        <v>13.8</v>
      </c>
      <c r="F477" s="4">
        <v>13.8</v>
      </c>
      <c r="G477" s="4">
        <v>5.0000000000000001E-3</v>
      </c>
      <c r="H477" s="4" t="s">
        <v>11</v>
      </c>
      <c r="I477" s="4">
        <v>19.8</v>
      </c>
      <c r="J477" s="4">
        <v>6</v>
      </c>
      <c r="K477" s="5">
        <f t="shared" si="7"/>
        <v>0.127</v>
      </c>
    </row>
    <row r="478" spans="1:11" x14ac:dyDescent="0.2">
      <c r="A478" s="3">
        <v>44691</v>
      </c>
      <c r="B478" s="4" t="s">
        <v>10</v>
      </c>
      <c r="C478" s="4">
        <v>16.8</v>
      </c>
      <c r="D478" s="4">
        <v>11.3</v>
      </c>
      <c r="E478" s="4">
        <v>14.1</v>
      </c>
      <c r="F478" s="4">
        <v>14.1</v>
      </c>
      <c r="G478" s="4">
        <v>5.0000000000000001E-3</v>
      </c>
      <c r="H478" s="4" t="s">
        <v>11</v>
      </c>
      <c r="I478" s="4">
        <v>22.5</v>
      </c>
      <c r="J478" s="4">
        <v>7</v>
      </c>
      <c r="K478" s="5">
        <f t="shared" si="7"/>
        <v>0.127</v>
      </c>
    </row>
    <row r="479" spans="1:11" x14ac:dyDescent="0.2">
      <c r="A479" s="3">
        <v>44703</v>
      </c>
      <c r="B479" s="4" t="s">
        <v>10</v>
      </c>
      <c r="C479" s="4">
        <v>18.399999999999999</v>
      </c>
      <c r="D479" s="4">
        <v>9.1999999999999993</v>
      </c>
      <c r="E479" s="4">
        <v>14.1</v>
      </c>
      <c r="F479" s="4">
        <v>13.9</v>
      </c>
      <c r="G479" s="4">
        <v>5.0000000000000001E-3</v>
      </c>
      <c r="H479" s="4" t="s">
        <v>11</v>
      </c>
      <c r="I479" s="4">
        <v>12.2</v>
      </c>
      <c r="J479" s="4">
        <v>5</v>
      </c>
      <c r="K479" s="5">
        <f t="shared" si="7"/>
        <v>0.127</v>
      </c>
    </row>
    <row r="480" spans="1:11" x14ac:dyDescent="0.2">
      <c r="A480" s="3">
        <v>45151</v>
      </c>
      <c r="B480" s="4" t="s">
        <v>10</v>
      </c>
      <c r="C480" s="4">
        <v>18.7</v>
      </c>
      <c r="D480" s="4">
        <v>14.2</v>
      </c>
      <c r="E480" s="4">
        <v>16.3</v>
      </c>
      <c r="F480" s="4">
        <v>16.3</v>
      </c>
      <c r="G480" s="4">
        <v>5.0000000000000001E-3</v>
      </c>
      <c r="H480" s="4" t="s">
        <v>11</v>
      </c>
      <c r="I480" s="4">
        <v>14.5</v>
      </c>
      <c r="J480" s="4">
        <v>8</v>
      </c>
      <c r="K480" s="5">
        <f t="shared" si="7"/>
        <v>0.127</v>
      </c>
    </row>
    <row r="481" spans="1:11" x14ac:dyDescent="0.2">
      <c r="A481" s="3">
        <v>45183</v>
      </c>
      <c r="B481" s="4" t="s">
        <v>10</v>
      </c>
      <c r="C481" s="4">
        <v>19.2</v>
      </c>
      <c r="D481" s="4">
        <v>13</v>
      </c>
      <c r="E481" s="4">
        <v>15.4</v>
      </c>
      <c r="F481" s="4">
        <v>15.4</v>
      </c>
      <c r="G481" s="4">
        <v>5.0000000000000001E-3</v>
      </c>
      <c r="H481" s="4" t="s">
        <v>11</v>
      </c>
      <c r="I481" s="4">
        <v>12.5</v>
      </c>
      <c r="J481" s="4">
        <v>7</v>
      </c>
      <c r="K481" s="5">
        <f t="shared" si="7"/>
        <v>0.127</v>
      </c>
    </row>
    <row r="482" spans="1:11" x14ac:dyDescent="0.2">
      <c r="A482" s="3">
        <v>44740</v>
      </c>
      <c r="B482" s="4" t="s">
        <v>10</v>
      </c>
      <c r="C482" s="4">
        <v>19.399999999999999</v>
      </c>
      <c r="D482" s="4">
        <v>8.3000000000000007</v>
      </c>
      <c r="E482" s="4">
        <v>14.7</v>
      </c>
      <c r="F482" s="4">
        <v>14.3</v>
      </c>
      <c r="G482" s="4">
        <v>5.0000000000000001E-3</v>
      </c>
      <c r="H482" s="4" t="s">
        <v>11</v>
      </c>
      <c r="I482" s="4">
        <v>19.5</v>
      </c>
      <c r="J482" s="4">
        <v>7</v>
      </c>
      <c r="K482" s="5">
        <f t="shared" si="7"/>
        <v>0.127</v>
      </c>
    </row>
    <row r="483" spans="1:11" x14ac:dyDescent="0.2">
      <c r="A483" s="3">
        <v>45209</v>
      </c>
      <c r="B483" s="4" t="s">
        <v>10</v>
      </c>
      <c r="C483" s="4">
        <v>19.8</v>
      </c>
      <c r="D483" s="4">
        <v>13.9</v>
      </c>
      <c r="E483" s="4">
        <v>16.3</v>
      </c>
      <c r="F483" s="4">
        <v>16.3</v>
      </c>
      <c r="G483" s="4">
        <v>5.0000000000000001E-3</v>
      </c>
      <c r="H483" s="4" t="s">
        <v>11</v>
      </c>
      <c r="I483" s="4">
        <v>16</v>
      </c>
      <c r="J483" s="4">
        <v>3</v>
      </c>
      <c r="K483" s="5">
        <f t="shared" si="7"/>
        <v>0.127</v>
      </c>
    </row>
    <row r="484" spans="1:11" x14ac:dyDescent="0.2">
      <c r="A484" s="3">
        <v>45266</v>
      </c>
      <c r="B484" s="4" t="s">
        <v>10</v>
      </c>
      <c r="C484" s="4">
        <v>3.8</v>
      </c>
      <c r="D484" s="4">
        <v>-2</v>
      </c>
      <c r="E484" s="4">
        <v>0.3</v>
      </c>
      <c r="F484" s="4">
        <v>-2</v>
      </c>
      <c r="G484" s="4">
        <v>4.0000000000000001E-3</v>
      </c>
      <c r="H484" s="4" t="s">
        <v>11</v>
      </c>
      <c r="I484" s="4">
        <v>9.5</v>
      </c>
      <c r="J484" s="4">
        <v>2</v>
      </c>
      <c r="K484" s="5">
        <f t="shared" si="7"/>
        <v>0.1016</v>
      </c>
    </row>
    <row r="485" spans="1:11" x14ac:dyDescent="0.2">
      <c r="A485" s="3">
        <v>44566</v>
      </c>
      <c r="B485" s="4" t="s">
        <v>10</v>
      </c>
      <c r="C485" s="4">
        <v>4.3</v>
      </c>
      <c r="D485" s="4">
        <v>-2.4</v>
      </c>
      <c r="E485" s="4">
        <v>1.8</v>
      </c>
      <c r="F485" s="4">
        <v>-2.7</v>
      </c>
      <c r="G485" s="4">
        <v>4.0000000000000001E-3</v>
      </c>
      <c r="H485" s="4" t="s">
        <v>12</v>
      </c>
      <c r="I485" s="4">
        <v>19.600000000000001</v>
      </c>
      <c r="J485" s="4">
        <v>1</v>
      </c>
      <c r="K485" s="5">
        <f t="shared" si="7"/>
        <v>0.1016</v>
      </c>
    </row>
    <row r="486" spans="1:11" x14ac:dyDescent="0.2">
      <c r="A486" s="3">
        <v>44897</v>
      </c>
      <c r="B486" s="4" t="s">
        <v>10</v>
      </c>
      <c r="C486" s="4">
        <v>5.7</v>
      </c>
      <c r="D486" s="4">
        <v>2.9</v>
      </c>
      <c r="E486" s="4">
        <v>4.0999999999999996</v>
      </c>
      <c r="F486" s="4">
        <v>2.2000000000000002</v>
      </c>
      <c r="G486" s="4">
        <v>4.0000000000000001E-3</v>
      </c>
      <c r="H486" s="4" t="s">
        <v>11</v>
      </c>
      <c r="I486" s="4">
        <v>7</v>
      </c>
      <c r="J486" s="4">
        <v>2</v>
      </c>
      <c r="K486" s="5">
        <f t="shared" si="7"/>
        <v>0.1016</v>
      </c>
    </row>
    <row r="487" spans="1:11" x14ac:dyDescent="0.2">
      <c r="A487" s="3">
        <v>44893</v>
      </c>
      <c r="B487" s="4" t="s">
        <v>10</v>
      </c>
      <c r="C487" s="4">
        <v>6.6</v>
      </c>
      <c r="D487" s="4">
        <v>2.8</v>
      </c>
      <c r="E487" s="4">
        <v>5.3</v>
      </c>
      <c r="F487" s="4">
        <v>3.7</v>
      </c>
      <c r="G487" s="4">
        <v>4.0000000000000001E-3</v>
      </c>
      <c r="H487" s="4" t="s">
        <v>11</v>
      </c>
      <c r="I487" s="4">
        <v>7.8</v>
      </c>
      <c r="J487" s="4">
        <v>1</v>
      </c>
      <c r="K487" s="5">
        <f t="shared" si="7"/>
        <v>0.1016</v>
      </c>
    </row>
    <row r="488" spans="1:11" x14ac:dyDescent="0.2">
      <c r="A488" s="3">
        <v>44950</v>
      </c>
      <c r="B488" s="4" t="s">
        <v>10</v>
      </c>
      <c r="C488" s="4">
        <v>7.3</v>
      </c>
      <c r="D488" s="4">
        <v>0.1</v>
      </c>
      <c r="E488" s="4">
        <v>3.1</v>
      </c>
      <c r="F488" s="4">
        <v>0.7</v>
      </c>
      <c r="G488" s="4">
        <v>4.0000000000000001E-3</v>
      </c>
      <c r="H488" s="4" t="s">
        <v>11</v>
      </c>
      <c r="I488" s="4">
        <v>7.3</v>
      </c>
      <c r="J488" s="4">
        <v>1</v>
      </c>
      <c r="K488" s="5">
        <f t="shared" si="7"/>
        <v>0.1016</v>
      </c>
    </row>
    <row r="489" spans="1:11" x14ac:dyDescent="0.2">
      <c r="A489" s="3">
        <v>45241</v>
      </c>
      <c r="B489" s="4" t="s">
        <v>10</v>
      </c>
      <c r="C489" s="4">
        <v>8.9</v>
      </c>
      <c r="D489" s="4">
        <v>1.8</v>
      </c>
      <c r="E489" s="4">
        <v>4.7</v>
      </c>
      <c r="F489" s="4">
        <v>2.4</v>
      </c>
      <c r="G489" s="4">
        <v>4.0000000000000001E-3</v>
      </c>
      <c r="H489" s="4" t="s">
        <v>11</v>
      </c>
      <c r="I489" s="4">
        <v>10.6</v>
      </c>
      <c r="J489" s="4">
        <v>3</v>
      </c>
      <c r="K489" s="5">
        <f t="shared" si="7"/>
        <v>0.1016</v>
      </c>
    </row>
    <row r="490" spans="1:11" x14ac:dyDescent="0.2">
      <c r="A490" s="3">
        <v>44634</v>
      </c>
      <c r="B490" s="4" t="s">
        <v>10</v>
      </c>
      <c r="C490" s="4">
        <v>11.6</v>
      </c>
      <c r="D490" s="4">
        <v>2.6</v>
      </c>
      <c r="E490" s="4">
        <v>7.1</v>
      </c>
      <c r="F490" s="4">
        <v>5</v>
      </c>
      <c r="G490" s="4">
        <v>4.0000000000000001E-3</v>
      </c>
      <c r="H490" s="4" t="s">
        <v>11</v>
      </c>
      <c r="I490" s="4">
        <v>17.5</v>
      </c>
      <c r="J490" s="4">
        <v>5</v>
      </c>
      <c r="K490" s="5">
        <f t="shared" si="7"/>
        <v>0.1016</v>
      </c>
    </row>
    <row r="491" spans="1:11" x14ac:dyDescent="0.2">
      <c r="A491" s="3">
        <v>44638</v>
      </c>
      <c r="B491" s="4" t="s">
        <v>10</v>
      </c>
      <c r="C491" s="4">
        <v>13</v>
      </c>
      <c r="D491" s="4">
        <v>0</v>
      </c>
      <c r="E491" s="4">
        <v>6.5</v>
      </c>
      <c r="F491" s="4">
        <v>5.8</v>
      </c>
      <c r="G491" s="4">
        <v>4.0000000000000001E-3</v>
      </c>
      <c r="H491" s="4" t="s">
        <v>11</v>
      </c>
      <c r="I491" s="4">
        <v>11.1</v>
      </c>
      <c r="J491" s="4">
        <v>6</v>
      </c>
      <c r="K491" s="5">
        <f t="shared" si="7"/>
        <v>0.1016</v>
      </c>
    </row>
    <row r="492" spans="1:11" x14ac:dyDescent="0.2">
      <c r="A492" s="3">
        <v>44872</v>
      </c>
      <c r="B492" s="4" t="s">
        <v>10</v>
      </c>
      <c r="C492" s="4">
        <v>13.2</v>
      </c>
      <c r="D492" s="4">
        <v>6.9</v>
      </c>
      <c r="E492" s="4">
        <v>10.6</v>
      </c>
      <c r="F492" s="4">
        <v>9.3000000000000007</v>
      </c>
      <c r="G492" s="4">
        <v>4.0000000000000001E-3</v>
      </c>
      <c r="H492" s="4" t="s">
        <v>11</v>
      </c>
      <c r="I492" s="4">
        <v>17.600000000000001</v>
      </c>
      <c r="J492" s="4">
        <v>1</v>
      </c>
      <c r="K492" s="5">
        <f t="shared" si="7"/>
        <v>0.1016</v>
      </c>
    </row>
    <row r="493" spans="1:11" x14ac:dyDescent="0.2">
      <c r="A493" s="3">
        <v>44562</v>
      </c>
      <c r="B493" s="4" t="s">
        <v>10</v>
      </c>
      <c r="C493" s="4">
        <v>13.6</v>
      </c>
      <c r="D493" s="4">
        <v>10.3</v>
      </c>
      <c r="E493" s="4">
        <v>11.7</v>
      </c>
      <c r="F493" s="4">
        <v>11.7</v>
      </c>
      <c r="G493" s="4">
        <v>4.0000000000000001E-3</v>
      </c>
      <c r="H493" s="4" t="s">
        <v>11</v>
      </c>
      <c r="I493" s="4">
        <v>16.5</v>
      </c>
      <c r="J493" s="4">
        <v>1</v>
      </c>
      <c r="K493" s="5">
        <f t="shared" si="7"/>
        <v>0.1016</v>
      </c>
    </row>
    <row r="494" spans="1:11" x14ac:dyDescent="0.2">
      <c r="A494" s="3">
        <v>45061</v>
      </c>
      <c r="B494" s="4" t="s">
        <v>10</v>
      </c>
      <c r="C494" s="4">
        <v>13.7</v>
      </c>
      <c r="D494" s="4">
        <v>5.6</v>
      </c>
      <c r="E494" s="4">
        <v>9.8000000000000007</v>
      </c>
      <c r="F494" s="4">
        <v>8.5</v>
      </c>
      <c r="G494" s="4">
        <v>4.0000000000000001E-3</v>
      </c>
      <c r="H494" s="4" t="s">
        <v>11</v>
      </c>
      <c r="I494" s="4">
        <v>13.8</v>
      </c>
      <c r="J494" s="4">
        <v>6</v>
      </c>
      <c r="K494" s="5">
        <f t="shared" si="7"/>
        <v>0.1016</v>
      </c>
    </row>
    <row r="495" spans="1:11" x14ac:dyDescent="0.2">
      <c r="A495" s="3">
        <v>44821</v>
      </c>
      <c r="B495" s="4" t="s">
        <v>10</v>
      </c>
      <c r="C495" s="4">
        <v>15</v>
      </c>
      <c r="D495" s="4">
        <v>5.8</v>
      </c>
      <c r="E495" s="4">
        <v>10.4</v>
      </c>
      <c r="F495" s="4">
        <v>9.1999999999999993</v>
      </c>
      <c r="G495" s="4">
        <v>4.0000000000000001E-3</v>
      </c>
      <c r="H495" s="4" t="s">
        <v>11</v>
      </c>
      <c r="I495" s="4">
        <v>15</v>
      </c>
      <c r="J495" s="4">
        <v>8</v>
      </c>
      <c r="K495" s="5">
        <f t="shared" si="7"/>
        <v>0.1016</v>
      </c>
    </row>
    <row r="496" spans="1:11" x14ac:dyDescent="0.2">
      <c r="A496" s="3">
        <v>45063</v>
      </c>
      <c r="B496" s="4" t="s">
        <v>10</v>
      </c>
      <c r="C496" s="4">
        <v>16.2</v>
      </c>
      <c r="D496" s="4">
        <v>7.2</v>
      </c>
      <c r="E496" s="4">
        <v>11.8</v>
      </c>
      <c r="F496" s="4">
        <v>11.6</v>
      </c>
      <c r="G496" s="4">
        <v>4.0000000000000001E-3</v>
      </c>
      <c r="H496" s="4" t="s">
        <v>11</v>
      </c>
      <c r="I496" s="4">
        <v>9.1999999999999993</v>
      </c>
      <c r="J496" s="4">
        <v>6</v>
      </c>
      <c r="K496" s="5">
        <f t="shared" si="7"/>
        <v>0.1016</v>
      </c>
    </row>
    <row r="497" spans="1:11" x14ac:dyDescent="0.2">
      <c r="A497" s="3">
        <v>45112</v>
      </c>
      <c r="B497" s="4" t="s">
        <v>10</v>
      </c>
      <c r="C497" s="4">
        <v>16.8</v>
      </c>
      <c r="D497" s="4">
        <v>10</v>
      </c>
      <c r="E497" s="4">
        <v>13.7</v>
      </c>
      <c r="F497" s="4">
        <v>13.7</v>
      </c>
      <c r="G497" s="4">
        <v>4.0000000000000001E-3</v>
      </c>
      <c r="H497" s="4" t="s">
        <v>11</v>
      </c>
      <c r="I497" s="4">
        <v>15.3</v>
      </c>
      <c r="J497" s="4">
        <v>5</v>
      </c>
      <c r="K497" s="5">
        <f t="shared" si="7"/>
        <v>0.1016</v>
      </c>
    </row>
    <row r="498" spans="1:11" x14ac:dyDescent="0.2">
      <c r="A498" s="3">
        <v>45208</v>
      </c>
      <c r="B498" s="4" t="s">
        <v>10</v>
      </c>
      <c r="C498" s="4">
        <v>20.100000000000001</v>
      </c>
      <c r="D498" s="4">
        <v>14.7</v>
      </c>
      <c r="E498" s="4">
        <v>17.2</v>
      </c>
      <c r="F498" s="4">
        <v>17.2</v>
      </c>
      <c r="G498" s="4">
        <v>4.0000000000000001E-3</v>
      </c>
      <c r="H498" s="4" t="s">
        <v>11</v>
      </c>
      <c r="I498" s="4">
        <v>12</v>
      </c>
      <c r="J498" s="4">
        <v>6</v>
      </c>
      <c r="K498" s="5">
        <f t="shared" si="7"/>
        <v>0.1016</v>
      </c>
    </row>
    <row r="499" spans="1:11" x14ac:dyDescent="0.2">
      <c r="A499" s="3">
        <v>44805</v>
      </c>
      <c r="B499" s="4" t="s">
        <v>10</v>
      </c>
      <c r="C499" s="4">
        <v>20.399999999999999</v>
      </c>
      <c r="D499" s="4">
        <v>12</v>
      </c>
      <c r="E499" s="4">
        <v>15.9</v>
      </c>
      <c r="F499" s="4">
        <v>15.9</v>
      </c>
      <c r="G499" s="4">
        <v>4.0000000000000001E-3</v>
      </c>
      <c r="H499" s="4" t="s">
        <v>11</v>
      </c>
      <c r="I499" s="4">
        <v>13.8</v>
      </c>
      <c r="J499" s="4">
        <v>8</v>
      </c>
      <c r="K499" s="5">
        <f t="shared" si="7"/>
        <v>0.1016</v>
      </c>
    </row>
    <row r="500" spans="1:11" x14ac:dyDescent="0.2">
      <c r="A500" s="3">
        <v>45171</v>
      </c>
      <c r="B500" s="4" t="s">
        <v>10</v>
      </c>
      <c r="C500" s="4">
        <v>20.9</v>
      </c>
      <c r="D500" s="4">
        <v>13.1</v>
      </c>
      <c r="E500" s="4">
        <v>16.399999999999999</v>
      </c>
      <c r="F500" s="4">
        <v>16.399999999999999</v>
      </c>
      <c r="G500" s="4">
        <v>4.0000000000000001E-3</v>
      </c>
      <c r="H500" s="4" t="s">
        <v>11</v>
      </c>
      <c r="I500" s="4">
        <v>6.5</v>
      </c>
      <c r="J500" s="4">
        <v>7</v>
      </c>
      <c r="K500" s="5">
        <f t="shared" si="7"/>
        <v>0.1016</v>
      </c>
    </row>
    <row r="501" spans="1:11" x14ac:dyDescent="0.2">
      <c r="A501" s="3">
        <v>45148</v>
      </c>
      <c r="B501" s="4" t="s">
        <v>10</v>
      </c>
      <c r="C501" s="4">
        <v>25.7</v>
      </c>
      <c r="D501" s="4">
        <v>16.399999999999999</v>
      </c>
      <c r="E501" s="4">
        <v>20.6</v>
      </c>
      <c r="F501" s="4">
        <v>20.6</v>
      </c>
      <c r="G501" s="4">
        <v>4.0000000000000001E-3</v>
      </c>
      <c r="H501" s="4" t="s">
        <v>11</v>
      </c>
      <c r="I501" s="4">
        <v>12.5</v>
      </c>
      <c r="J501" s="4">
        <v>6</v>
      </c>
      <c r="K501" s="5">
        <f t="shared" si="7"/>
        <v>0.1016</v>
      </c>
    </row>
    <row r="502" spans="1:11" x14ac:dyDescent="0.2">
      <c r="A502" s="3">
        <v>44911</v>
      </c>
      <c r="B502" s="4" t="s">
        <v>10</v>
      </c>
      <c r="C502" s="4">
        <v>1.1000000000000001</v>
      </c>
      <c r="D502" s="4">
        <v>-5.3</v>
      </c>
      <c r="E502" s="4">
        <v>-2.2999999999999998</v>
      </c>
      <c r="F502" s="4">
        <v>-5.5</v>
      </c>
      <c r="G502" s="4">
        <v>3.0000000000000001E-3</v>
      </c>
      <c r="H502" s="4" t="s">
        <v>12</v>
      </c>
      <c r="I502" s="4">
        <v>9.8000000000000007</v>
      </c>
      <c r="J502" s="4">
        <v>2</v>
      </c>
      <c r="K502" s="5">
        <f t="shared" si="7"/>
        <v>7.6200000000000004E-2</v>
      </c>
    </row>
    <row r="503" spans="1:11" x14ac:dyDescent="0.2">
      <c r="A503" s="3">
        <v>44896</v>
      </c>
      <c r="B503" s="4" t="s">
        <v>10</v>
      </c>
      <c r="C503" s="4">
        <v>5.4</v>
      </c>
      <c r="D503" s="4">
        <v>2.1</v>
      </c>
      <c r="E503" s="4">
        <v>4.4000000000000004</v>
      </c>
      <c r="F503" s="4">
        <v>2.4</v>
      </c>
      <c r="G503" s="4">
        <v>3.0000000000000001E-3</v>
      </c>
      <c r="H503" s="4" t="s">
        <v>11</v>
      </c>
      <c r="I503" s="4">
        <v>6.8</v>
      </c>
      <c r="J503" s="4">
        <v>1</v>
      </c>
      <c r="K503" s="5">
        <f t="shared" si="7"/>
        <v>7.6200000000000004E-2</v>
      </c>
    </row>
    <row r="504" spans="1:11" x14ac:dyDescent="0.2">
      <c r="A504" s="3">
        <v>44578</v>
      </c>
      <c r="B504" s="4" t="s">
        <v>10</v>
      </c>
      <c r="C504" s="4">
        <v>7.7</v>
      </c>
      <c r="D504" s="4">
        <v>-1</v>
      </c>
      <c r="E504" s="4">
        <v>2.5</v>
      </c>
      <c r="F504" s="4">
        <v>0</v>
      </c>
      <c r="G504" s="4">
        <v>3.0000000000000001E-3</v>
      </c>
      <c r="H504" s="4" t="s">
        <v>11</v>
      </c>
      <c r="I504" s="4">
        <v>7.7</v>
      </c>
      <c r="J504" s="4">
        <v>1</v>
      </c>
      <c r="K504" s="5">
        <f t="shared" si="7"/>
        <v>7.6200000000000004E-2</v>
      </c>
    </row>
    <row r="505" spans="1:11" x14ac:dyDescent="0.2">
      <c r="A505" s="3">
        <v>44659</v>
      </c>
      <c r="B505" s="4" t="s">
        <v>10</v>
      </c>
      <c r="C505" s="4">
        <v>8.1999999999999993</v>
      </c>
      <c r="D505" s="4">
        <v>-0.9</v>
      </c>
      <c r="E505" s="4">
        <v>4.0999999999999996</v>
      </c>
      <c r="F505" s="4">
        <v>1.1000000000000001</v>
      </c>
      <c r="G505" s="4">
        <v>3.0000000000000001E-3</v>
      </c>
      <c r="H505" s="4" t="s">
        <v>11</v>
      </c>
      <c r="I505" s="4">
        <v>11.3</v>
      </c>
      <c r="J505" s="4">
        <v>6</v>
      </c>
      <c r="K505" s="5">
        <f t="shared" si="7"/>
        <v>7.6200000000000004E-2</v>
      </c>
    </row>
    <row r="506" spans="1:11" x14ac:dyDescent="0.2">
      <c r="A506" s="3">
        <v>45058</v>
      </c>
      <c r="B506" s="4" t="s">
        <v>10</v>
      </c>
      <c r="C506" s="4">
        <v>9.6999999999999993</v>
      </c>
      <c r="D506" s="4">
        <v>8.1999999999999993</v>
      </c>
      <c r="E506" s="4">
        <v>9.3000000000000007</v>
      </c>
      <c r="F506" s="4">
        <v>6.6</v>
      </c>
      <c r="G506" s="4">
        <v>3.0000000000000001E-3</v>
      </c>
      <c r="H506" s="4" t="s">
        <v>11</v>
      </c>
      <c r="I506" s="4">
        <v>14.7</v>
      </c>
      <c r="J506" s="4">
        <v>2</v>
      </c>
      <c r="K506" s="5">
        <f t="shared" si="7"/>
        <v>7.6200000000000004E-2</v>
      </c>
    </row>
    <row r="507" spans="1:11" x14ac:dyDescent="0.2">
      <c r="A507" s="3">
        <v>44869</v>
      </c>
      <c r="B507" s="4" t="s">
        <v>10</v>
      </c>
      <c r="C507" s="4">
        <v>11.1</v>
      </c>
      <c r="D507" s="4">
        <v>2.6</v>
      </c>
      <c r="E507" s="4">
        <v>6.3</v>
      </c>
      <c r="F507" s="4">
        <v>4.3</v>
      </c>
      <c r="G507" s="4">
        <v>3.0000000000000001E-3</v>
      </c>
      <c r="H507" s="4" t="s">
        <v>11</v>
      </c>
      <c r="I507" s="4">
        <v>12.1</v>
      </c>
      <c r="J507" s="4">
        <v>4</v>
      </c>
      <c r="K507" s="5">
        <f t="shared" si="7"/>
        <v>7.6200000000000004E-2</v>
      </c>
    </row>
    <row r="508" spans="1:11" x14ac:dyDescent="0.2">
      <c r="A508" s="3">
        <v>45222</v>
      </c>
      <c r="B508" s="4" t="s">
        <v>10</v>
      </c>
      <c r="C508" s="4">
        <v>11.2</v>
      </c>
      <c r="D508" s="4">
        <v>3.3</v>
      </c>
      <c r="E508" s="4">
        <v>7.3</v>
      </c>
      <c r="F508" s="4">
        <v>6.7</v>
      </c>
      <c r="G508" s="4">
        <v>3.0000000000000001E-3</v>
      </c>
      <c r="H508" s="4" t="s">
        <v>11</v>
      </c>
      <c r="I508" s="4">
        <v>8.6</v>
      </c>
      <c r="J508" s="4">
        <v>1</v>
      </c>
      <c r="K508" s="5">
        <f t="shared" si="7"/>
        <v>7.6200000000000004E-2</v>
      </c>
    </row>
    <row r="509" spans="1:11" x14ac:dyDescent="0.2">
      <c r="A509" s="3">
        <v>44641</v>
      </c>
      <c r="B509" s="4" t="s">
        <v>10</v>
      </c>
      <c r="C509" s="4">
        <v>11.3</v>
      </c>
      <c r="D509" s="4">
        <v>-2.2000000000000002</v>
      </c>
      <c r="E509" s="4">
        <v>4.8</v>
      </c>
      <c r="F509" s="4">
        <v>3.8</v>
      </c>
      <c r="G509" s="4">
        <v>3.0000000000000001E-3</v>
      </c>
      <c r="H509" s="4" t="s">
        <v>11</v>
      </c>
      <c r="I509" s="4">
        <v>10.1</v>
      </c>
      <c r="J509" s="4">
        <v>6</v>
      </c>
      <c r="K509" s="5">
        <f t="shared" si="7"/>
        <v>7.6200000000000004E-2</v>
      </c>
    </row>
    <row r="510" spans="1:11" x14ac:dyDescent="0.2">
      <c r="A510" s="3">
        <v>45045</v>
      </c>
      <c r="B510" s="4" t="s">
        <v>10</v>
      </c>
      <c r="C510" s="4">
        <v>11.4</v>
      </c>
      <c r="D510" s="4">
        <v>7.7</v>
      </c>
      <c r="E510" s="4">
        <v>9.3000000000000007</v>
      </c>
      <c r="F510" s="4">
        <v>8.6999999999999993</v>
      </c>
      <c r="G510" s="4">
        <v>3.0000000000000001E-3</v>
      </c>
      <c r="H510" s="4" t="s">
        <v>11</v>
      </c>
      <c r="I510" s="4">
        <v>8.6</v>
      </c>
      <c r="J510" s="4">
        <v>4</v>
      </c>
      <c r="K510" s="5">
        <f t="shared" si="7"/>
        <v>7.6200000000000004E-2</v>
      </c>
    </row>
    <row r="511" spans="1:11" x14ac:dyDescent="0.2">
      <c r="A511" s="3">
        <v>44590</v>
      </c>
      <c r="B511" s="4" t="s">
        <v>10</v>
      </c>
      <c r="C511" s="4">
        <v>12.2</v>
      </c>
      <c r="D511" s="4">
        <v>4.0999999999999996</v>
      </c>
      <c r="E511" s="4">
        <v>9.3000000000000007</v>
      </c>
      <c r="F511" s="4">
        <v>7.6</v>
      </c>
      <c r="G511" s="4">
        <v>3.0000000000000001E-3</v>
      </c>
      <c r="H511" s="4" t="s">
        <v>11</v>
      </c>
      <c r="I511" s="4">
        <v>29.8</v>
      </c>
      <c r="J511" s="4">
        <v>2</v>
      </c>
      <c r="K511" s="5">
        <f t="shared" si="7"/>
        <v>7.6200000000000004E-2</v>
      </c>
    </row>
    <row r="512" spans="1:11" x14ac:dyDescent="0.2">
      <c r="A512" s="3">
        <v>45216</v>
      </c>
      <c r="B512" s="4" t="s">
        <v>10</v>
      </c>
      <c r="C512" s="4">
        <v>12.8</v>
      </c>
      <c r="D512" s="4">
        <v>2.1</v>
      </c>
      <c r="E512" s="4">
        <v>7.3</v>
      </c>
      <c r="F512" s="4">
        <v>5.9</v>
      </c>
      <c r="G512" s="4">
        <v>3.0000000000000001E-3</v>
      </c>
      <c r="H512" s="4" t="s">
        <v>11</v>
      </c>
      <c r="I512" s="4">
        <v>15.2</v>
      </c>
      <c r="J512" s="4">
        <v>3</v>
      </c>
      <c r="K512" s="5">
        <f t="shared" si="7"/>
        <v>7.6200000000000004E-2</v>
      </c>
    </row>
    <row r="513" spans="1:11" x14ac:dyDescent="0.2">
      <c r="A513" s="3">
        <v>44847</v>
      </c>
      <c r="B513" s="4" t="s">
        <v>10</v>
      </c>
      <c r="C513" s="4">
        <v>13.6</v>
      </c>
      <c r="D513" s="4">
        <v>3.2</v>
      </c>
      <c r="E513" s="4">
        <v>8.5</v>
      </c>
      <c r="F513" s="4">
        <v>7.7</v>
      </c>
      <c r="G513" s="4">
        <v>3.0000000000000001E-3</v>
      </c>
      <c r="H513" s="4" t="s">
        <v>11</v>
      </c>
      <c r="I513" s="4">
        <v>7.6</v>
      </c>
      <c r="J513" s="4">
        <v>5</v>
      </c>
      <c r="K513" s="5">
        <f t="shared" si="7"/>
        <v>7.6200000000000004E-2</v>
      </c>
    </row>
    <row r="514" spans="1:11" x14ac:dyDescent="0.2">
      <c r="A514" s="3">
        <v>45146</v>
      </c>
      <c r="B514" s="4" t="s">
        <v>10</v>
      </c>
      <c r="C514" s="4">
        <v>19.2</v>
      </c>
      <c r="D514" s="4">
        <v>9.6999999999999993</v>
      </c>
      <c r="E514" s="4">
        <v>14.7</v>
      </c>
      <c r="F514" s="4">
        <v>14.6</v>
      </c>
      <c r="G514" s="4">
        <v>3.0000000000000001E-3</v>
      </c>
      <c r="H514" s="4" t="s">
        <v>11</v>
      </c>
      <c r="I514" s="4">
        <v>12.7</v>
      </c>
      <c r="J514" s="4">
        <v>10</v>
      </c>
      <c r="K514" s="5">
        <f t="shared" ref="K514:K577" si="8">SUM(G514*25.4)</f>
        <v>7.6200000000000004E-2</v>
      </c>
    </row>
    <row r="515" spans="1:11" x14ac:dyDescent="0.2">
      <c r="A515" s="3">
        <v>44576</v>
      </c>
      <c r="B515" s="4" t="s">
        <v>10</v>
      </c>
      <c r="C515" s="4">
        <v>0.5</v>
      </c>
      <c r="D515" s="4">
        <v>-1.1000000000000001</v>
      </c>
      <c r="E515" s="4">
        <v>-0.3</v>
      </c>
      <c r="F515" s="4">
        <v>-2.2999999999999998</v>
      </c>
      <c r="G515" s="4">
        <v>2E-3</v>
      </c>
      <c r="H515" s="4" t="s">
        <v>12</v>
      </c>
      <c r="I515" s="4">
        <v>6.9</v>
      </c>
      <c r="J515" s="4">
        <v>1</v>
      </c>
      <c r="K515" s="5">
        <f t="shared" si="8"/>
        <v>5.0799999999999998E-2</v>
      </c>
    </row>
    <row r="516" spans="1:11" x14ac:dyDescent="0.2">
      <c r="A516" s="3">
        <v>44942</v>
      </c>
      <c r="B516" s="4" t="s">
        <v>10</v>
      </c>
      <c r="C516" s="4">
        <v>0.8</v>
      </c>
      <c r="D516" s="4">
        <v>-4.3</v>
      </c>
      <c r="E516" s="4">
        <v>-0.6</v>
      </c>
      <c r="F516" s="4">
        <v>-3.9</v>
      </c>
      <c r="G516" s="4">
        <v>2E-3</v>
      </c>
      <c r="H516" s="4" t="s">
        <v>12</v>
      </c>
      <c r="I516" s="4">
        <v>15.8</v>
      </c>
      <c r="J516" s="4">
        <v>3</v>
      </c>
      <c r="K516" s="5">
        <f t="shared" si="8"/>
        <v>5.0799999999999998E-2</v>
      </c>
    </row>
    <row r="517" spans="1:11" x14ac:dyDescent="0.2">
      <c r="A517" s="3">
        <v>44947</v>
      </c>
      <c r="B517" s="4" t="s">
        <v>10</v>
      </c>
      <c r="C517" s="4">
        <v>1.4</v>
      </c>
      <c r="D517" s="4">
        <v>-5.3</v>
      </c>
      <c r="E517" s="4">
        <v>-2.1</v>
      </c>
      <c r="F517" s="4">
        <v>-4.3</v>
      </c>
      <c r="G517" s="4">
        <v>2E-3</v>
      </c>
      <c r="H517" s="4" t="s">
        <v>12</v>
      </c>
      <c r="I517" s="4">
        <v>7.3</v>
      </c>
      <c r="J517" s="4">
        <v>2</v>
      </c>
      <c r="K517" s="5">
        <f t="shared" si="8"/>
        <v>5.0799999999999998E-2</v>
      </c>
    </row>
    <row r="518" spans="1:11" x14ac:dyDescent="0.2">
      <c r="A518" s="3">
        <v>44993</v>
      </c>
      <c r="B518" s="4" t="s">
        <v>10</v>
      </c>
      <c r="C518" s="4">
        <v>2.8</v>
      </c>
      <c r="D518" s="4">
        <v>-5.0999999999999996</v>
      </c>
      <c r="E518" s="4">
        <v>-1.1000000000000001</v>
      </c>
      <c r="F518" s="4">
        <v>-3.8</v>
      </c>
      <c r="G518" s="4">
        <v>2E-3</v>
      </c>
      <c r="H518" s="4" t="s">
        <v>12</v>
      </c>
      <c r="I518" s="4">
        <v>10.9</v>
      </c>
      <c r="J518" s="4">
        <v>3</v>
      </c>
      <c r="K518" s="5">
        <f t="shared" si="8"/>
        <v>5.0799999999999998E-2</v>
      </c>
    </row>
    <row r="519" spans="1:11" x14ac:dyDescent="0.2">
      <c r="A519" s="3">
        <v>44586</v>
      </c>
      <c r="B519" s="4" t="s">
        <v>10</v>
      </c>
      <c r="C519" s="4">
        <v>2.9</v>
      </c>
      <c r="D519" s="4">
        <v>0.1</v>
      </c>
      <c r="E519" s="4">
        <v>1.1000000000000001</v>
      </c>
      <c r="F519" s="4">
        <v>-0.7</v>
      </c>
      <c r="G519" s="4">
        <v>2E-3</v>
      </c>
      <c r="H519" s="4" t="s">
        <v>12</v>
      </c>
      <c r="I519" s="4">
        <v>6.7</v>
      </c>
      <c r="J519" s="4">
        <v>0</v>
      </c>
      <c r="K519" s="5">
        <f t="shared" si="8"/>
        <v>5.0799999999999998E-2</v>
      </c>
    </row>
    <row r="520" spans="1:11" x14ac:dyDescent="0.2">
      <c r="A520" s="3">
        <v>44949</v>
      </c>
      <c r="B520" s="4" t="s">
        <v>10</v>
      </c>
      <c r="C520" s="4">
        <v>4.2</v>
      </c>
      <c r="D520" s="4">
        <v>0.1</v>
      </c>
      <c r="E520" s="4">
        <v>1.6</v>
      </c>
      <c r="F520" s="4">
        <v>-1.6</v>
      </c>
      <c r="G520" s="4">
        <v>2E-3</v>
      </c>
      <c r="H520" s="4" t="s">
        <v>11</v>
      </c>
      <c r="I520" s="4">
        <v>8.6999999999999993</v>
      </c>
      <c r="J520" s="4">
        <v>2</v>
      </c>
      <c r="K520" s="5">
        <f t="shared" si="8"/>
        <v>5.0799999999999998E-2</v>
      </c>
    </row>
    <row r="521" spans="1:11" x14ac:dyDescent="0.2">
      <c r="A521" s="3">
        <v>44584</v>
      </c>
      <c r="B521" s="4" t="s">
        <v>10</v>
      </c>
      <c r="C521" s="4">
        <v>5.5</v>
      </c>
      <c r="D521" s="4">
        <v>0.7</v>
      </c>
      <c r="E521" s="4">
        <v>3.3</v>
      </c>
      <c r="F521" s="4">
        <v>0.9</v>
      </c>
      <c r="G521" s="4">
        <v>2E-3</v>
      </c>
      <c r="H521" s="4" t="s">
        <v>12</v>
      </c>
      <c r="I521" s="4">
        <v>8.6999999999999993</v>
      </c>
      <c r="J521" s="4">
        <v>0</v>
      </c>
      <c r="K521" s="5">
        <f t="shared" si="8"/>
        <v>5.0799999999999998E-2</v>
      </c>
    </row>
    <row r="522" spans="1:11" x14ac:dyDescent="0.2">
      <c r="A522" s="3">
        <v>44989</v>
      </c>
      <c r="B522" s="4" t="s">
        <v>10</v>
      </c>
      <c r="C522" s="4">
        <v>5.5</v>
      </c>
      <c r="D522" s="4">
        <v>3.1</v>
      </c>
      <c r="E522" s="4">
        <v>4.0999999999999996</v>
      </c>
      <c r="F522" s="4">
        <v>1.4</v>
      </c>
      <c r="G522" s="4">
        <v>2E-3</v>
      </c>
      <c r="H522" s="4" t="s">
        <v>11</v>
      </c>
      <c r="I522" s="4">
        <v>10.4</v>
      </c>
      <c r="J522" s="4">
        <v>3</v>
      </c>
      <c r="K522" s="5">
        <f t="shared" si="8"/>
        <v>5.0799999999999998E-2</v>
      </c>
    </row>
    <row r="523" spans="1:11" x14ac:dyDescent="0.2">
      <c r="A523" s="3">
        <v>44571</v>
      </c>
      <c r="B523" s="4" t="s">
        <v>10</v>
      </c>
      <c r="C523" s="4">
        <v>7.3</v>
      </c>
      <c r="D523" s="4">
        <v>4.0999999999999996</v>
      </c>
      <c r="E523" s="4">
        <v>5.7</v>
      </c>
      <c r="F523" s="4">
        <v>3</v>
      </c>
      <c r="G523" s="4">
        <v>2E-3</v>
      </c>
      <c r="H523" s="4" t="s">
        <v>11</v>
      </c>
      <c r="I523" s="4">
        <v>12.2</v>
      </c>
      <c r="J523" s="4">
        <v>1</v>
      </c>
      <c r="K523" s="5">
        <f t="shared" si="8"/>
        <v>5.0799999999999998E-2</v>
      </c>
    </row>
    <row r="524" spans="1:11" x14ac:dyDescent="0.2">
      <c r="A524" s="3">
        <v>44660</v>
      </c>
      <c r="B524" s="4" t="s">
        <v>10</v>
      </c>
      <c r="C524" s="4">
        <v>8.1999999999999993</v>
      </c>
      <c r="D524" s="4">
        <v>0.2</v>
      </c>
      <c r="E524" s="4">
        <v>4.3</v>
      </c>
      <c r="F524" s="4">
        <v>1.1000000000000001</v>
      </c>
      <c r="G524" s="4">
        <v>2E-3</v>
      </c>
      <c r="H524" s="4" t="s">
        <v>11</v>
      </c>
      <c r="I524" s="4">
        <v>16.5</v>
      </c>
      <c r="J524" s="4">
        <v>6</v>
      </c>
      <c r="K524" s="5">
        <f t="shared" si="8"/>
        <v>5.0799999999999998E-2</v>
      </c>
    </row>
    <row r="525" spans="1:11" x14ac:dyDescent="0.2">
      <c r="A525" s="3">
        <v>45012</v>
      </c>
      <c r="B525" s="4" t="s">
        <v>10</v>
      </c>
      <c r="C525" s="4">
        <v>8.1999999999999993</v>
      </c>
      <c r="D525" s="4">
        <v>0.7</v>
      </c>
      <c r="E525" s="4">
        <v>3.9</v>
      </c>
      <c r="F525" s="4">
        <v>1.4</v>
      </c>
      <c r="G525" s="4">
        <v>2E-3</v>
      </c>
      <c r="H525" s="4" t="s">
        <v>11</v>
      </c>
      <c r="I525" s="4">
        <v>9.6</v>
      </c>
      <c r="J525" s="4">
        <v>6</v>
      </c>
      <c r="K525" s="5">
        <f t="shared" si="8"/>
        <v>5.0799999999999998E-2</v>
      </c>
    </row>
    <row r="526" spans="1:11" x14ac:dyDescent="0.2">
      <c r="A526" s="3">
        <v>44964</v>
      </c>
      <c r="B526" s="4" t="s">
        <v>10</v>
      </c>
      <c r="C526" s="4">
        <v>8.6</v>
      </c>
      <c r="D526" s="4">
        <v>0.4</v>
      </c>
      <c r="E526" s="4">
        <v>4.0999999999999996</v>
      </c>
      <c r="F526" s="4">
        <v>1.7</v>
      </c>
      <c r="G526" s="4">
        <v>2E-3</v>
      </c>
      <c r="H526" s="4" t="s">
        <v>12</v>
      </c>
      <c r="I526" s="4">
        <v>7.9</v>
      </c>
      <c r="J526" s="4">
        <v>2</v>
      </c>
      <c r="K526" s="5">
        <f t="shared" si="8"/>
        <v>5.0799999999999998E-2</v>
      </c>
    </row>
    <row r="527" spans="1:11" x14ac:dyDescent="0.2">
      <c r="A527" s="3">
        <v>44640</v>
      </c>
      <c r="B527" s="4" t="s">
        <v>10</v>
      </c>
      <c r="C527" s="4">
        <v>9.1</v>
      </c>
      <c r="D527" s="4">
        <v>0.9</v>
      </c>
      <c r="E527" s="4">
        <v>4.9000000000000004</v>
      </c>
      <c r="F527" s="4">
        <v>1.9</v>
      </c>
      <c r="G527" s="4">
        <v>2E-3</v>
      </c>
      <c r="H527" s="4" t="s">
        <v>11</v>
      </c>
      <c r="I527" s="4">
        <v>15.7</v>
      </c>
      <c r="J527" s="4">
        <v>6</v>
      </c>
      <c r="K527" s="5">
        <f t="shared" si="8"/>
        <v>5.0799999999999998E-2</v>
      </c>
    </row>
    <row r="528" spans="1:11" x14ac:dyDescent="0.2">
      <c r="A528" s="3">
        <v>44955</v>
      </c>
      <c r="B528" s="4" t="s">
        <v>10</v>
      </c>
      <c r="C528" s="4">
        <v>9.4</v>
      </c>
      <c r="D528" s="4">
        <v>3.1</v>
      </c>
      <c r="E528" s="4">
        <v>6.3</v>
      </c>
      <c r="F528" s="4">
        <v>2.9</v>
      </c>
      <c r="G528" s="4">
        <v>2E-3</v>
      </c>
      <c r="H528" s="4" t="s">
        <v>11</v>
      </c>
      <c r="I528" s="4">
        <v>18.7</v>
      </c>
      <c r="J528" s="4">
        <v>3</v>
      </c>
      <c r="K528" s="5">
        <f t="shared" si="8"/>
        <v>5.0799999999999998E-2</v>
      </c>
    </row>
    <row r="529" spans="1:11" x14ac:dyDescent="0.2">
      <c r="A529" s="3">
        <v>44595</v>
      </c>
      <c r="B529" s="4" t="s">
        <v>10</v>
      </c>
      <c r="C529" s="4">
        <v>9.6</v>
      </c>
      <c r="D529" s="4">
        <v>7.7</v>
      </c>
      <c r="E529" s="4">
        <v>8.6</v>
      </c>
      <c r="F529" s="4">
        <v>5.8</v>
      </c>
      <c r="G529" s="4">
        <v>2E-3</v>
      </c>
      <c r="H529" s="4" t="s">
        <v>11</v>
      </c>
      <c r="I529" s="4">
        <v>20.5</v>
      </c>
      <c r="J529" s="4">
        <v>1</v>
      </c>
      <c r="K529" s="5">
        <f t="shared" si="8"/>
        <v>5.0799999999999998E-2</v>
      </c>
    </row>
    <row r="530" spans="1:11" x14ac:dyDescent="0.2">
      <c r="A530" s="3">
        <v>44677</v>
      </c>
      <c r="B530" s="4" t="s">
        <v>10</v>
      </c>
      <c r="C530" s="4">
        <v>10.1</v>
      </c>
      <c r="D530" s="4">
        <v>3.9</v>
      </c>
      <c r="E530" s="4">
        <v>6.9</v>
      </c>
      <c r="F530" s="4">
        <v>5</v>
      </c>
      <c r="G530" s="4">
        <v>2E-3</v>
      </c>
      <c r="H530" s="4" t="s">
        <v>11</v>
      </c>
      <c r="I530" s="4">
        <v>10.6</v>
      </c>
      <c r="J530" s="4">
        <v>4</v>
      </c>
      <c r="K530" s="5">
        <f t="shared" si="8"/>
        <v>5.0799999999999998E-2</v>
      </c>
    </row>
    <row r="531" spans="1:11" x14ac:dyDescent="0.2">
      <c r="A531" s="3">
        <v>44868</v>
      </c>
      <c r="B531" s="4" t="s">
        <v>10</v>
      </c>
      <c r="C531" s="4">
        <v>11.6</v>
      </c>
      <c r="D531" s="4">
        <v>4.9000000000000004</v>
      </c>
      <c r="E531" s="4">
        <v>8.3000000000000007</v>
      </c>
      <c r="F531" s="4">
        <v>6.9</v>
      </c>
      <c r="G531" s="4">
        <v>2E-3</v>
      </c>
      <c r="H531" s="4" t="s">
        <v>11</v>
      </c>
      <c r="I531" s="4">
        <v>20.5</v>
      </c>
      <c r="J531" s="4">
        <v>2</v>
      </c>
      <c r="K531" s="5">
        <f t="shared" si="8"/>
        <v>5.0799999999999998E-2</v>
      </c>
    </row>
    <row r="532" spans="1:11" x14ac:dyDescent="0.2">
      <c r="A532" s="3">
        <v>44639</v>
      </c>
      <c r="B532" s="4" t="s">
        <v>10</v>
      </c>
      <c r="C532" s="4">
        <v>12.5</v>
      </c>
      <c r="D532" s="4">
        <v>0.6</v>
      </c>
      <c r="E532" s="4">
        <v>5.9</v>
      </c>
      <c r="F532" s="4">
        <v>3.9</v>
      </c>
      <c r="G532" s="4">
        <v>2E-3</v>
      </c>
      <c r="H532" s="4" t="s">
        <v>12</v>
      </c>
      <c r="I532" s="4">
        <v>17.600000000000001</v>
      </c>
      <c r="J532" s="4">
        <v>6</v>
      </c>
      <c r="K532" s="5">
        <f t="shared" si="8"/>
        <v>5.0799999999999998E-2</v>
      </c>
    </row>
    <row r="533" spans="1:11" x14ac:dyDescent="0.2">
      <c r="A533" s="3">
        <v>44977</v>
      </c>
      <c r="B533" s="4" t="s">
        <v>10</v>
      </c>
      <c r="C533" s="4">
        <v>12.6</v>
      </c>
      <c r="D533" s="4">
        <v>9.8000000000000007</v>
      </c>
      <c r="E533" s="4">
        <v>10.8</v>
      </c>
      <c r="F533" s="4">
        <v>10.6</v>
      </c>
      <c r="G533" s="4">
        <v>2E-3</v>
      </c>
      <c r="H533" s="4" t="s">
        <v>11</v>
      </c>
      <c r="I533" s="4">
        <v>22.9</v>
      </c>
      <c r="J533" s="4">
        <v>3</v>
      </c>
      <c r="K533" s="5">
        <f t="shared" si="8"/>
        <v>5.0799999999999998E-2</v>
      </c>
    </row>
    <row r="534" spans="1:11" x14ac:dyDescent="0.2">
      <c r="A534" s="3">
        <v>45078</v>
      </c>
      <c r="B534" s="4" t="s">
        <v>10</v>
      </c>
      <c r="C534" s="4">
        <v>13</v>
      </c>
      <c r="D534" s="4">
        <v>9.6</v>
      </c>
      <c r="E534" s="4">
        <v>10.8</v>
      </c>
      <c r="F534" s="4">
        <v>10.4</v>
      </c>
      <c r="G534" s="4">
        <v>2E-3</v>
      </c>
      <c r="H534" s="4" t="s">
        <v>11</v>
      </c>
      <c r="I534" s="4">
        <v>12.7</v>
      </c>
      <c r="J534" s="4">
        <v>4</v>
      </c>
      <c r="K534" s="5">
        <f t="shared" si="8"/>
        <v>5.0799999999999998E-2</v>
      </c>
    </row>
    <row r="535" spans="1:11" x14ac:dyDescent="0.2">
      <c r="A535" s="3">
        <v>44693</v>
      </c>
      <c r="B535" s="4" t="s">
        <v>10</v>
      </c>
      <c r="C535" s="4">
        <v>14.3</v>
      </c>
      <c r="D535" s="4">
        <v>7.1</v>
      </c>
      <c r="E535" s="4">
        <v>10.9</v>
      </c>
      <c r="F535" s="4">
        <v>10.1</v>
      </c>
      <c r="G535" s="4">
        <v>2E-3</v>
      </c>
      <c r="H535" s="4" t="s">
        <v>11</v>
      </c>
      <c r="I535" s="4">
        <v>16.899999999999999</v>
      </c>
      <c r="J535" s="4">
        <v>8</v>
      </c>
      <c r="K535" s="5">
        <f t="shared" si="8"/>
        <v>5.0799999999999998E-2</v>
      </c>
    </row>
    <row r="536" spans="1:11" x14ac:dyDescent="0.2">
      <c r="A536" s="3">
        <v>44822</v>
      </c>
      <c r="B536" s="4" t="s">
        <v>10</v>
      </c>
      <c r="C536" s="4">
        <v>14.9</v>
      </c>
      <c r="D536" s="4">
        <v>8.6</v>
      </c>
      <c r="E536" s="4">
        <v>11.5</v>
      </c>
      <c r="F536" s="4">
        <v>11.1</v>
      </c>
      <c r="G536" s="4">
        <v>2E-3</v>
      </c>
      <c r="H536" s="4" t="s">
        <v>11</v>
      </c>
      <c r="I536" s="4">
        <v>14.8</v>
      </c>
      <c r="J536" s="4">
        <v>3</v>
      </c>
      <c r="K536" s="5">
        <f t="shared" si="8"/>
        <v>5.0799999999999998E-2</v>
      </c>
    </row>
    <row r="537" spans="1:11" x14ac:dyDescent="0.2">
      <c r="A537" s="3">
        <v>44840</v>
      </c>
      <c r="B537" s="4" t="s">
        <v>10</v>
      </c>
      <c r="C537" s="4">
        <v>16.2</v>
      </c>
      <c r="D537" s="4">
        <v>9.1</v>
      </c>
      <c r="E537" s="4">
        <v>12.7</v>
      </c>
      <c r="F537" s="4">
        <v>11.9</v>
      </c>
      <c r="G537" s="4">
        <v>2E-3</v>
      </c>
      <c r="H537" s="4" t="s">
        <v>11</v>
      </c>
      <c r="I537" s="4">
        <v>20.3</v>
      </c>
      <c r="J537" s="4">
        <v>3</v>
      </c>
      <c r="K537" s="5">
        <f t="shared" si="8"/>
        <v>5.0799999999999998E-2</v>
      </c>
    </row>
    <row r="538" spans="1:11" x14ac:dyDescent="0.2">
      <c r="A538" s="3">
        <v>44643</v>
      </c>
      <c r="B538" s="4" t="s">
        <v>10</v>
      </c>
      <c r="C538" s="4">
        <v>16.8</v>
      </c>
      <c r="D538" s="4">
        <v>2.6</v>
      </c>
      <c r="E538" s="4">
        <v>8.9</v>
      </c>
      <c r="F538" s="4">
        <v>8.8000000000000007</v>
      </c>
      <c r="G538" s="4">
        <v>2E-3</v>
      </c>
      <c r="H538" s="4" t="s">
        <v>11</v>
      </c>
      <c r="I538" s="4">
        <v>7.5</v>
      </c>
      <c r="J538" s="4">
        <v>6</v>
      </c>
      <c r="K538" s="5">
        <f t="shared" si="8"/>
        <v>5.0799999999999998E-2</v>
      </c>
    </row>
    <row r="539" spans="1:11" x14ac:dyDescent="0.2">
      <c r="A539" s="3">
        <v>45169</v>
      </c>
      <c r="B539" s="4" t="s">
        <v>10</v>
      </c>
      <c r="C539" s="4">
        <v>18.7</v>
      </c>
      <c r="D539" s="4">
        <v>7.1</v>
      </c>
      <c r="E539" s="4">
        <v>12.9</v>
      </c>
      <c r="F539" s="4">
        <v>12.8</v>
      </c>
      <c r="G539" s="4">
        <v>2E-3</v>
      </c>
      <c r="H539" s="4" t="s">
        <v>11</v>
      </c>
      <c r="I539" s="4">
        <v>9.6</v>
      </c>
      <c r="J539" s="4">
        <v>8</v>
      </c>
      <c r="K539" s="5">
        <f t="shared" si="8"/>
        <v>5.0799999999999998E-2</v>
      </c>
    </row>
    <row r="540" spans="1:11" x14ac:dyDescent="0.2">
      <c r="A540" s="3">
        <v>45111</v>
      </c>
      <c r="B540" s="4" t="s">
        <v>10</v>
      </c>
      <c r="C540" s="4">
        <v>18.8</v>
      </c>
      <c r="D540" s="4">
        <v>9.6999999999999993</v>
      </c>
      <c r="E540" s="4">
        <v>14.2</v>
      </c>
      <c r="F540" s="4">
        <v>13.9</v>
      </c>
      <c r="G540" s="4">
        <v>2E-3</v>
      </c>
      <c r="H540" s="4" t="s">
        <v>11</v>
      </c>
      <c r="I540" s="4">
        <v>14.3</v>
      </c>
      <c r="J540" s="4">
        <v>8</v>
      </c>
      <c r="K540" s="5">
        <f t="shared" si="8"/>
        <v>5.0799999999999998E-2</v>
      </c>
    </row>
    <row r="541" spans="1:11" x14ac:dyDescent="0.2">
      <c r="A541" s="3">
        <v>44793</v>
      </c>
      <c r="B541" s="4" t="s">
        <v>10</v>
      </c>
      <c r="C541" s="4">
        <v>21.6</v>
      </c>
      <c r="D541" s="4">
        <v>12.4</v>
      </c>
      <c r="E541" s="4">
        <v>16.899999999999999</v>
      </c>
      <c r="F541" s="4">
        <v>16.899999999999999</v>
      </c>
      <c r="G541" s="4">
        <v>2E-3</v>
      </c>
      <c r="H541" s="4" t="s">
        <v>11</v>
      </c>
      <c r="I541" s="4">
        <v>20.6</v>
      </c>
      <c r="J541" s="4">
        <v>5</v>
      </c>
      <c r="K541" s="5">
        <f t="shared" si="8"/>
        <v>5.0799999999999998E-2</v>
      </c>
    </row>
    <row r="542" spans="1:11" x14ac:dyDescent="0.2">
      <c r="A542" s="3">
        <v>45159</v>
      </c>
      <c r="B542" s="4" t="s">
        <v>10</v>
      </c>
      <c r="C542" s="4">
        <v>22.1</v>
      </c>
      <c r="D542" s="4">
        <v>11.1</v>
      </c>
      <c r="E542" s="4">
        <v>17</v>
      </c>
      <c r="F542" s="4">
        <v>17</v>
      </c>
      <c r="G542" s="4">
        <v>2E-3</v>
      </c>
      <c r="H542" s="4" t="s">
        <v>11</v>
      </c>
      <c r="I542" s="4">
        <v>17.2</v>
      </c>
      <c r="J542" s="4">
        <v>8</v>
      </c>
      <c r="K542" s="5">
        <f t="shared" si="8"/>
        <v>5.0799999999999998E-2</v>
      </c>
    </row>
    <row r="543" spans="1:11" x14ac:dyDescent="0.2">
      <c r="A543" s="3">
        <v>45149</v>
      </c>
      <c r="B543" s="4" t="s">
        <v>10</v>
      </c>
      <c r="C543" s="4">
        <v>22.7</v>
      </c>
      <c r="D543" s="4">
        <v>16</v>
      </c>
      <c r="E543" s="4">
        <v>19.600000000000001</v>
      </c>
      <c r="F543" s="4">
        <v>19.600000000000001</v>
      </c>
      <c r="G543" s="4">
        <v>2E-3</v>
      </c>
      <c r="H543" s="4" t="s">
        <v>11</v>
      </c>
      <c r="I543" s="4">
        <v>15.8</v>
      </c>
      <c r="J543" s="4">
        <v>10</v>
      </c>
      <c r="K543" s="5">
        <f t="shared" si="8"/>
        <v>5.0799999999999998E-2</v>
      </c>
    </row>
    <row r="544" spans="1:11" x14ac:dyDescent="0.2">
      <c r="A544" s="3">
        <v>44906</v>
      </c>
      <c r="B544" s="4" t="s">
        <v>10</v>
      </c>
      <c r="C544" s="4">
        <v>1.3</v>
      </c>
      <c r="D544" s="4">
        <v>-2.1</v>
      </c>
      <c r="E544" s="4">
        <v>-0.8</v>
      </c>
      <c r="F544" s="4">
        <v>-1.6</v>
      </c>
      <c r="G544" s="4">
        <v>1E-3</v>
      </c>
      <c r="H544" s="4" t="s">
        <v>12</v>
      </c>
      <c r="I544" s="4">
        <v>3.8</v>
      </c>
      <c r="J544" s="4">
        <v>2</v>
      </c>
      <c r="K544" s="5">
        <f t="shared" si="8"/>
        <v>2.5399999999999999E-2</v>
      </c>
    </row>
    <row r="545" spans="1:11" x14ac:dyDescent="0.2">
      <c r="A545" s="3">
        <v>44581</v>
      </c>
      <c r="B545" s="4" t="s">
        <v>10</v>
      </c>
      <c r="C545" s="4">
        <v>4.7</v>
      </c>
      <c r="D545" s="4">
        <v>-0.2</v>
      </c>
      <c r="E545" s="4">
        <v>2.6</v>
      </c>
      <c r="F545" s="4">
        <v>-1.3</v>
      </c>
      <c r="G545" s="4">
        <v>1E-3</v>
      </c>
      <c r="H545" s="4" t="s">
        <v>11</v>
      </c>
      <c r="I545" s="4">
        <v>13.3</v>
      </c>
      <c r="J545" s="4">
        <v>2</v>
      </c>
      <c r="K545" s="5">
        <f t="shared" si="8"/>
        <v>2.5399999999999999E-2</v>
      </c>
    </row>
    <row r="546" spans="1:11" x14ac:dyDescent="0.2">
      <c r="A546" s="3">
        <v>44603</v>
      </c>
      <c r="B546" s="4" t="s">
        <v>10</v>
      </c>
      <c r="C546" s="4">
        <v>5.7</v>
      </c>
      <c r="D546" s="4">
        <v>-3.5</v>
      </c>
      <c r="E546" s="4">
        <v>1.9</v>
      </c>
      <c r="F546" s="4">
        <v>-1.6</v>
      </c>
      <c r="G546" s="4">
        <v>1E-3</v>
      </c>
      <c r="H546" s="4" t="s">
        <v>11</v>
      </c>
      <c r="I546" s="4">
        <v>13.8</v>
      </c>
      <c r="J546" s="4">
        <v>3</v>
      </c>
      <c r="K546" s="5">
        <f t="shared" si="8"/>
        <v>2.5399999999999999E-2</v>
      </c>
    </row>
    <row r="547" spans="1:11" x14ac:dyDescent="0.2">
      <c r="A547" s="3">
        <v>45255</v>
      </c>
      <c r="B547" s="4" t="s">
        <v>10</v>
      </c>
      <c r="C547" s="4">
        <v>5.7</v>
      </c>
      <c r="D547" s="4">
        <v>-0.8</v>
      </c>
      <c r="E547" s="4">
        <v>2</v>
      </c>
      <c r="F547" s="4">
        <v>-1.2</v>
      </c>
      <c r="G547" s="4">
        <v>1E-3</v>
      </c>
      <c r="H547" s="4" t="s">
        <v>11</v>
      </c>
      <c r="I547" s="4">
        <v>10.8</v>
      </c>
      <c r="J547" s="4">
        <v>3</v>
      </c>
      <c r="K547" s="5">
        <f t="shared" si="8"/>
        <v>2.5399999999999999E-2</v>
      </c>
    </row>
    <row r="548" spans="1:11" x14ac:dyDescent="0.2">
      <c r="A548" s="3">
        <v>44990</v>
      </c>
      <c r="B548" s="4" t="s">
        <v>10</v>
      </c>
      <c r="C548" s="4">
        <v>5.8</v>
      </c>
      <c r="D548" s="4">
        <v>2.2999999999999998</v>
      </c>
      <c r="E548" s="4">
        <v>3.6</v>
      </c>
      <c r="F548" s="4">
        <v>1.9</v>
      </c>
      <c r="G548" s="4">
        <v>1E-3</v>
      </c>
      <c r="H548" s="4" t="s">
        <v>11</v>
      </c>
      <c r="I548" s="4">
        <v>6</v>
      </c>
      <c r="J548" s="4">
        <v>3</v>
      </c>
      <c r="K548" s="5">
        <f t="shared" si="8"/>
        <v>2.5399999999999999E-2</v>
      </c>
    </row>
    <row r="549" spans="1:11" x14ac:dyDescent="0.2">
      <c r="A549" s="3">
        <v>44954</v>
      </c>
      <c r="B549" s="4" t="s">
        <v>10</v>
      </c>
      <c r="C549" s="4">
        <v>6</v>
      </c>
      <c r="D549" s="4">
        <v>-0.4</v>
      </c>
      <c r="E549" s="4">
        <v>2.8</v>
      </c>
      <c r="F549" s="4">
        <v>0.7</v>
      </c>
      <c r="G549" s="4">
        <v>1E-3</v>
      </c>
      <c r="H549" s="4" t="s">
        <v>11</v>
      </c>
      <c r="I549" s="4">
        <v>6.5</v>
      </c>
      <c r="J549" s="4">
        <v>2</v>
      </c>
      <c r="K549" s="5">
        <f t="shared" si="8"/>
        <v>2.5399999999999999E-2</v>
      </c>
    </row>
    <row r="550" spans="1:11" x14ac:dyDescent="0.2">
      <c r="A550" s="3">
        <v>44988</v>
      </c>
      <c r="B550" s="4" t="s">
        <v>10</v>
      </c>
      <c r="C550" s="4">
        <v>6.5</v>
      </c>
      <c r="D550" s="4">
        <v>2.4</v>
      </c>
      <c r="E550" s="4">
        <v>4.4000000000000004</v>
      </c>
      <c r="F550" s="4">
        <v>2.2999999999999998</v>
      </c>
      <c r="G550" s="4">
        <v>1E-3</v>
      </c>
      <c r="H550" s="4" t="s">
        <v>11</v>
      </c>
      <c r="I550" s="4">
        <v>9.6</v>
      </c>
      <c r="J550" s="4">
        <v>2</v>
      </c>
      <c r="K550" s="5">
        <f t="shared" si="8"/>
        <v>2.5399999999999999E-2</v>
      </c>
    </row>
    <row r="551" spans="1:11" x14ac:dyDescent="0.2">
      <c r="A551" s="3">
        <v>44602</v>
      </c>
      <c r="B551" s="4" t="s">
        <v>10</v>
      </c>
      <c r="C551" s="4">
        <v>6.9</v>
      </c>
      <c r="D551" s="4">
        <v>2.2000000000000002</v>
      </c>
      <c r="E551" s="4">
        <v>4.2</v>
      </c>
      <c r="F551" s="4">
        <v>0.2</v>
      </c>
      <c r="G551" s="4">
        <v>1E-3</v>
      </c>
      <c r="H551" s="4" t="s">
        <v>11</v>
      </c>
      <c r="I551" s="4">
        <v>19.2</v>
      </c>
      <c r="J551" s="4">
        <v>3</v>
      </c>
      <c r="K551" s="5">
        <f t="shared" si="8"/>
        <v>2.5399999999999999E-2</v>
      </c>
    </row>
    <row r="552" spans="1:11" x14ac:dyDescent="0.2">
      <c r="A552" s="3">
        <v>44966</v>
      </c>
      <c r="B552" s="4" t="s">
        <v>10</v>
      </c>
      <c r="C552" s="4">
        <v>8</v>
      </c>
      <c r="D552" s="4">
        <v>0.4</v>
      </c>
      <c r="E552" s="4">
        <v>4.9000000000000004</v>
      </c>
      <c r="F552" s="4">
        <v>1.7</v>
      </c>
      <c r="G552" s="4">
        <v>1E-3</v>
      </c>
      <c r="H552" s="4" t="s">
        <v>11</v>
      </c>
      <c r="I552" s="4">
        <v>15.7</v>
      </c>
      <c r="J552" s="4">
        <v>4</v>
      </c>
      <c r="K552" s="5">
        <f t="shared" si="8"/>
        <v>2.5399999999999999E-2</v>
      </c>
    </row>
    <row r="553" spans="1:11" x14ac:dyDescent="0.2">
      <c r="A553" s="3">
        <v>44574</v>
      </c>
      <c r="B553" s="4" t="s">
        <v>10</v>
      </c>
      <c r="C553" s="4">
        <v>9.1999999999999993</v>
      </c>
      <c r="D553" s="4">
        <v>1.6</v>
      </c>
      <c r="E553" s="4">
        <v>5.2</v>
      </c>
      <c r="F553" s="4">
        <v>2.7</v>
      </c>
      <c r="G553" s="4">
        <v>1E-3</v>
      </c>
      <c r="H553" s="4" t="s">
        <v>11</v>
      </c>
      <c r="I553" s="4">
        <v>9.9</v>
      </c>
      <c r="J553" s="4">
        <v>2</v>
      </c>
      <c r="K553" s="5">
        <f t="shared" si="8"/>
        <v>2.5399999999999999E-2</v>
      </c>
    </row>
    <row r="554" spans="1:11" x14ac:dyDescent="0.2">
      <c r="A554" s="3">
        <v>44589</v>
      </c>
      <c r="B554" s="4" t="s">
        <v>10</v>
      </c>
      <c r="C554" s="4">
        <v>10.199999999999999</v>
      </c>
      <c r="D554" s="4">
        <v>0</v>
      </c>
      <c r="E554" s="4">
        <v>5.2</v>
      </c>
      <c r="F554" s="4">
        <v>2.4</v>
      </c>
      <c r="G554" s="4">
        <v>1E-3</v>
      </c>
      <c r="H554" s="4" t="s">
        <v>11</v>
      </c>
      <c r="I554" s="4">
        <v>19.8</v>
      </c>
      <c r="J554" s="4">
        <v>2</v>
      </c>
      <c r="K554" s="5">
        <f t="shared" si="8"/>
        <v>2.5399999999999999E-2</v>
      </c>
    </row>
    <row r="555" spans="1:11" x14ac:dyDescent="0.2">
      <c r="A555" s="3">
        <v>45277</v>
      </c>
      <c r="B555" s="4" t="s">
        <v>10</v>
      </c>
      <c r="C555" s="4">
        <v>10.7</v>
      </c>
      <c r="D555" s="4">
        <v>8.6999999999999993</v>
      </c>
      <c r="E555" s="4">
        <v>9.6999999999999993</v>
      </c>
      <c r="F555" s="4">
        <v>7.8</v>
      </c>
      <c r="G555" s="4">
        <v>1E-3</v>
      </c>
      <c r="H555" s="4" t="s">
        <v>11</v>
      </c>
      <c r="I555" s="4">
        <v>20.5</v>
      </c>
      <c r="J555" s="4">
        <v>1</v>
      </c>
      <c r="K555" s="5">
        <f t="shared" si="8"/>
        <v>2.5399999999999999E-2</v>
      </c>
    </row>
    <row r="556" spans="1:11" x14ac:dyDescent="0.2">
      <c r="A556" s="3">
        <v>44594</v>
      </c>
      <c r="B556" s="4" t="s">
        <v>10</v>
      </c>
      <c r="C556" s="4">
        <v>11.4</v>
      </c>
      <c r="D556" s="4">
        <v>7.1</v>
      </c>
      <c r="E556" s="4">
        <v>9.3000000000000007</v>
      </c>
      <c r="F556" s="4">
        <v>7.7</v>
      </c>
      <c r="G556" s="4">
        <v>1E-3</v>
      </c>
      <c r="H556" s="4" t="s">
        <v>11</v>
      </c>
      <c r="I556" s="4">
        <v>14.4</v>
      </c>
      <c r="J556" s="4">
        <v>2</v>
      </c>
      <c r="K556" s="5">
        <f t="shared" si="8"/>
        <v>2.5399999999999999E-2</v>
      </c>
    </row>
    <row r="557" spans="1:11" x14ac:dyDescent="0.2">
      <c r="A557" s="3">
        <v>44633</v>
      </c>
      <c r="B557" s="4" t="s">
        <v>10</v>
      </c>
      <c r="C557" s="4">
        <v>11.8</v>
      </c>
      <c r="D557" s="4">
        <v>6.2</v>
      </c>
      <c r="E557" s="4">
        <v>8.4</v>
      </c>
      <c r="F557" s="4">
        <v>6</v>
      </c>
      <c r="G557" s="4">
        <v>1E-3</v>
      </c>
      <c r="H557" s="4" t="s">
        <v>11</v>
      </c>
      <c r="I557" s="4">
        <v>19.2</v>
      </c>
      <c r="J557" s="4">
        <v>3</v>
      </c>
      <c r="K557" s="5">
        <f t="shared" si="8"/>
        <v>2.5399999999999999E-2</v>
      </c>
    </row>
    <row r="558" spans="1:11" x14ac:dyDescent="0.2">
      <c r="A558" s="3">
        <v>45048</v>
      </c>
      <c r="B558" s="4" t="s">
        <v>10</v>
      </c>
      <c r="C558" s="4">
        <v>12.1</v>
      </c>
      <c r="D558" s="4">
        <v>6.7</v>
      </c>
      <c r="E558" s="4">
        <v>8.6999999999999993</v>
      </c>
      <c r="F558" s="4">
        <v>7.6</v>
      </c>
      <c r="G558" s="4">
        <v>1E-3</v>
      </c>
      <c r="H558" s="4" t="s">
        <v>11</v>
      </c>
      <c r="I558" s="4">
        <v>10.7</v>
      </c>
      <c r="J558" s="4">
        <v>5</v>
      </c>
      <c r="K558" s="5">
        <f t="shared" si="8"/>
        <v>2.5399999999999999E-2</v>
      </c>
    </row>
    <row r="559" spans="1:11" x14ac:dyDescent="0.2">
      <c r="A559" s="3">
        <v>44853</v>
      </c>
      <c r="B559" s="4" t="s">
        <v>10</v>
      </c>
      <c r="C559" s="4">
        <v>12.6</v>
      </c>
      <c r="D559" s="4">
        <v>8.8000000000000007</v>
      </c>
      <c r="E559" s="4">
        <v>10.7</v>
      </c>
      <c r="F559" s="4">
        <v>10.1</v>
      </c>
      <c r="G559" s="4">
        <v>1E-3</v>
      </c>
      <c r="H559" s="4" t="s">
        <v>11</v>
      </c>
      <c r="I559" s="4">
        <v>15.9</v>
      </c>
      <c r="J559" s="4">
        <v>3</v>
      </c>
      <c r="K559" s="5">
        <f t="shared" si="8"/>
        <v>2.5399999999999999E-2</v>
      </c>
    </row>
    <row r="560" spans="1:11" x14ac:dyDescent="0.2">
      <c r="A560" s="3">
        <v>45211</v>
      </c>
      <c r="B560" s="4" t="s">
        <v>10</v>
      </c>
      <c r="C560" s="4">
        <v>12.6</v>
      </c>
      <c r="D560" s="4">
        <v>2.6</v>
      </c>
      <c r="E560" s="4">
        <v>7.7</v>
      </c>
      <c r="F560" s="4">
        <v>7.1</v>
      </c>
      <c r="G560" s="4">
        <v>1E-3</v>
      </c>
      <c r="H560" s="4" t="s">
        <v>11</v>
      </c>
      <c r="I560" s="4">
        <v>8.4</v>
      </c>
      <c r="J560" s="4">
        <v>5</v>
      </c>
      <c r="K560" s="5">
        <f t="shared" si="8"/>
        <v>2.5399999999999999E-2</v>
      </c>
    </row>
    <row r="561" spans="1:11" x14ac:dyDescent="0.2">
      <c r="A561" s="3">
        <v>44852</v>
      </c>
      <c r="B561" s="4" t="s">
        <v>10</v>
      </c>
      <c r="C561" s="4">
        <v>13.2</v>
      </c>
      <c r="D561" s="4">
        <v>5.4</v>
      </c>
      <c r="E561" s="4">
        <v>9.8000000000000007</v>
      </c>
      <c r="F561" s="4">
        <v>9.1</v>
      </c>
      <c r="G561" s="4">
        <v>1E-3</v>
      </c>
      <c r="H561" s="4" t="s">
        <v>11</v>
      </c>
      <c r="I561" s="4">
        <v>8.8000000000000007</v>
      </c>
      <c r="J561" s="4">
        <v>5</v>
      </c>
      <c r="K561" s="5">
        <f t="shared" si="8"/>
        <v>2.5399999999999999E-2</v>
      </c>
    </row>
    <row r="562" spans="1:11" x14ac:dyDescent="0.2">
      <c r="A562" s="3">
        <v>45024</v>
      </c>
      <c r="B562" s="4" t="s">
        <v>10</v>
      </c>
      <c r="C562" s="4">
        <v>13.4</v>
      </c>
      <c r="D562" s="4">
        <v>3.6</v>
      </c>
      <c r="E562" s="4">
        <v>8</v>
      </c>
      <c r="F562" s="4">
        <v>7.3</v>
      </c>
      <c r="G562" s="4">
        <v>1E-3</v>
      </c>
      <c r="H562" s="4" t="s">
        <v>11</v>
      </c>
      <c r="I562" s="4">
        <v>9.9</v>
      </c>
      <c r="J562" s="4">
        <v>8</v>
      </c>
      <c r="K562" s="5">
        <f t="shared" si="8"/>
        <v>2.5399999999999999E-2</v>
      </c>
    </row>
    <row r="563" spans="1:11" x14ac:dyDescent="0.2">
      <c r="A563" s="3">
        <v>45083</v>
      </c>
      <c r="B563" s="4" t="s">
        <v>10</v>
      </c>
      <c r="C563" s="4">
        <v>13.7</v>
      </c>
      <c r="D563" s="4">
        <v>9.6</v>
      </c>
      <c r="E563" s="4">
        <v>11.2</v>
      </c>
      <c r="F563" s="4">
        <v>11</v>
      </c>
      <c r="G563" s="4">
        <v>1E-3</v>
      </c>
      <c r="H563" s="4" t="s">
        <v>11</v>
      </c>
      <c r="I563" s="4">
        <v>10.4</v>
      </c>
      <c r="J563" s="4">
        <v>4</v>
      </c>
      <c r="K563" s="5">
        <f t="shared" si="8"/>
        <v>2.5399999999999999E-2</v>
      </c>
    </row>
    <row r="564" spans="1:11" x14ac:dyDescent="0.2">
      <c r="A564" s="3">
        <v>44842</v>
      </c>
      <c r="B564" s="4" t="s">
        <v>10</v>
      </c>
      <c r="C564" s="4">
        <v>14.3</v>
      </c>
      <c r="D564" s="4">
        <v>6.2</v>
      </c>
      <c r="E564" s="4">
        <v>9.8000000000000007</v>
      </c>
      <c r="F564" s="4">
        <v>8.5</v>
      </c>
      <c r="G564" s="4">
        <v>1E-3</v>
      </c>
      <c r="H564" s="4" t="s">
        <v>11</v>
      </c>
      <c r="I564" s="4">
        <v>13.4</v>
      </c>
      <c r="J564" s="4">
        <v>5</v>
      </c>
      <c r="K564" s="5">
        <f t="shared" si="8"/>
        <v>2.5399999999999999E-2</v>
      </c>
    </row>
    <row r="565" spans="1:11" x14ac:dyDescent="0.2">
      <c r="A565" s="3">
        <v>44689</v>
      </c>
      <c r="B565" s="4" t="s">
        <v>10</v>
      </c>
      <c r="C565" s="4">
        <v>16.100000000000001</v>
      </c>
      <c r="D565" s="4">
        <v>3.1</v>
      </c>
      <c r="E565" s="4">
        <v>9.8000000000000007</v>
      </c>
      <c r="F565" s="4">
        <v>9.1</v>
      </c>
      <c r="G565" s="4">
        <v>1E-3</v>
      </c>
      <c r="H565" s="4" t="s">
        <v>11</v>
      </c>
      <c r="I565" s="4">
        <v>11.9</v>
      </c>
      <c r="J565" s="4">
        <v>7</v>
      </c>
      <c r="K565" s="5">
        <f t="shared" si="8"/>
        <v>2.5399999999999999E-2</v>
      </c>
    </row>
    <row r="566" spans="1:11" x14ac:dyDescent="0.2">
      <c r="A566" s="3">
        <v>45182</v>
      </c>
      <c r="B566" s="4" t="s">
        <v>10</v>
      </c>
      <c r="C566" s="4">
        <v>16.5</v>
      </c>
      <c r="D566" s="4">
        <v>8.3000000000000007</v>
      </c>
      <c r="E566" s="4">
        <v>12.6</v>
      </c>
      <c r="F566" s="4">
        <v>12.1</v>
      </c>
      <c r="G566" s="4">
        <v>1E-3</v>
      </c>
      <c r="H566" s="4" t="s">
        <v>11</v>
      </c>
      <c r="I566" s="4">
        <v>11.2</v>
      </c>
      <c r="J566" s="4">
        <v>9</v>
      </c>
      <c r="K566" s="5">
        <f t="shared" si="8"/>
        <v>2.5399999999999999E-2</v>
      </c>
    </row>
    <row r="567" spans="1:11" x14ac:dyDescent="0.2">
      <c r="A567" s="3">
        <v>45166</v>
      </c>
      <c r="B567" s="4" t="s">
        <v>10</v>
      </c>
      <c r="C567" s="4">
        <v>16.7</v>
      </c>
      <c r="D567" s="4">
        <v>10</v>
      </c>
      <c r="E567" s="4">
        <v>13.7</v>
      </c>
      <c r="F567" s="4">
        <v>13.7</v>
      </c>
      <c r="G567" s="4">
        <v>1E-3</v>
      </c>
      <c r="H567" s="4" t="s">
        <v>11</v>
      </c>
      <c r="I567" s="4">
        <v>10.1</v>
      </c>
      <c r="J567" s="4">
        <v>8</v>
      </c>
      <c r="K567" s="5">
        <f t="shared" si="8"/>
        <v>2.5399999999999999E-2</v>
      </c>
    </row>
    <row r="568" spans="1:11" x14ac:dyDescent="0.2">
      <c r="A568" s="3">
        <v>44746</v>
      </c>
      <c r="B568" s="4" t="s">
        <v>10</v>
      </c>
      <c r="C568" s="4">
        <v>16.8</v>
      </c>
      <c r="D568" s="4">
        <v>12.1</v>
      </c>
      <c r="E568" s="4">
        <v>14.6</v>
      </c>
      <c r="F568" s="4">
        <v>14.6</v>
      </c>
      <c r="G568" s="4">
        <v>1E-3</v>
      </c>
      <c r="H568" s="4" t="s">
        <v>11</v>
      </c>
      <c r="I568" s="4">
        <v>18.399999999999999</v>
      </c>
      <c r="J568" s="4">
        <v>7</v>
      </c>
      <c r="K568" s="5">
        <f t="shared" si="8"/>
        <v>2.5399999999999999E-2</v>
      </c>
    </row>
    <row r="569" spans="1:11" x14ac:dyDescent="0.2">
      <c r="A569" s="3">
        <v>45066</v>
      </c>
      <c r="B569" s="4" t="s">
        <v>10</v>
      </c>
      <c r="C569" s="4">
        <v>16.899999999999999</v>
      </c>
      <c r="D569" s="4">
        <v>5.8</v>
      </c>
      <c r="E569" s="4">
        <v>11.6</v>
      </c>
      <c r="F569" s="4">
        <v>11.4</v>
      </c>
      <c r="G569" s="4">
        <v>1E-3</v>
      </c>
      <c r="H569" s="4" t="s">
        <v>11</v>
      </c>
      <c r="I569" s="4">
        <v>11.3</v>
      </c>
      <c r="J569" s="4">
        <v>8</v>
      </c>
      <c r="K569" s="5">
        <f t="shared" si="8"/>
        <v>2.5399999999999999E-2</v>
      </c>
    </row>
    <row r="570" spans="1:11" x14ac:dyDescent="0.2">
      <c r="A570" s="3">
        <v>45190</v>
      </c>
      <c r="B570" s="4" t="s">
        <v>10</v>
      </c>
      <c r="C570" s="4">
        <v>16.899999999999999</v>
      </c>
      <c r="D570" s="4">
        <v>8.3000000000000007</v>
      </c>
      <c r="E570" s="4">
        <v>12.2</v>
      </c>
      <c r="F570" s="4">
        <v>11.8</v>
      </c>
      <c r="G570" s="4">
        <v>1E-3</v>
      </c>
      <c r="H570" s="4" t="s">
        <v>11</v>
      </c>
      <c r="I570" s="4">
        <v>11.4</v>
      </c>
      <c r="J570" s="4">
        <v>7</v>
      </c>
      <c r="K570" s="5">
        <f t="shared" si="8"/>
        <v>2.5399999999999999E-2</v>
      </c>
    </row>
    <row r="571" spans="1:11" x14ac:dyDescent="0.2">
      <c r="A571" s="3">
        <v>44714</v>
      </c>
      <c r="B571" s="4" t="s">
        <v>10</v>
      </c>
      <c r="C571" s="4">
        <v>18.100000000000001</v>
      </c>
      <c r="D571" s="4">
        <v>4.8</v>
      </c>
      <c r="E571" s="4">
        <v>12.5</v>
      </c>
      <c r="F571" s="4">
        <v>12.4</v>
      </c>
      <c r="G571" s="4">
        <v>1E-3</v>
      </c>
      <c r="H571" s="4" t="s">
        <v>11</v>
      </c>
      <c r="I571" s="4">
        <v>8.8000000000000007</v>
      </c>
      <c r="J571" s="4">
        <v>6</v>
      </c>
      <c r="K571" s="5">
        <f t="shared" si="8"/>
        <v>2.5399999999999999E-2</v>
      </c>
    </row>
    <row r="572" spans="1:11" x14ac:dyDescent="0.2">
      <c r="A572" s="3">
        <v>45145</v>
      </c>
      <c r="B572" s="4" t="s">
        <v>10</v>
      </c>
      <c r="C572" s="4">
        <v>18.600000000000001</v>
      </c>
      <c r="D572" s="4">
        <v>8.1999999999999993</v>
      </c>
      <c r="E572" s="4">
        <v>13.7</v>
      </c>
      <c r="F572" s="4">
        <v>13.4</v>
      </c>
      <c r="G572" s="4">
        <v>1E-3</v>
      </c>
      <c r="H572" s="4" t="s">
        <v>11</v>
      </c>
      <c r="I572" s="4">
        <v>17.100000000000001</v>
      </c>
      <c r="J572" s="4">
        <v>7</v>
      </c>
      <c r="K572" s="5">
        <f t="shared" si="8"/>
        <v>2.5399999999999999E-2</v>
      </c>
    </row>
    <row r="573" spans="1:11" x14ac:dyDescent="0.2">
      <c r="A573" s="3">
        <v>45206</v>
      </c>
      <c r="B573" s="4" t="s">
        <v>10</v>
      </c>
      <c r="C573" s="4">
        <v>19.3</v>
      </c>
      <c r="D573" s="4">
        <v>13.8</v>
      </c>
      <c r="E573" s="4">
        <v>16.7</v>
      </c>
      <c r="F573" s="4">
        <v>16.7</v>
      </c>
      <c r="G573" s="4">
        <v>1E-3</v>
      </c>
      <c r="H573" s="4" t="s">
        <v>11</v>
      </c>
      <c r="I573" s="4">
        <v>18.7</v>
      </c>
      <c r="J573" s="4">
        <v>3</v>
      </c>
      <c r="K573" s="5">
        <f t="shared" si="8"/>
        <v>2.5399999999999999E-2</v>
      </c>
    </row>
    <row r="574" spans="1:11" x14ac:dyDescent="0.2">
      <c r="A574" s="3">
        <v>45154</v>
      </c>
      <c r="B574" s="4" t="s">
        <v>10</v>
      </c>
      <c r="C574" s="4">
        <v>19.7</v>
      </c>
      <c r="D574" s="4">
        <v>12</v>
      </c>
      <c r="E574" s="4">
        <v>16</v>
      </c>
      <c r="F574" s="4">
        <v>16</v>
      </c>
      <c r="G574" s="4">
        <v>1E-3</v>
      </c>
      <c r="H574" s="4" t="s">
        <v>11</v>
      </c>
      <c r="I574" s="4">
        <v>8.4</v>
      </c>
      <c r="J574" s="4">
        <v>6</v>
      </c>
      <c r="K574" s="5">
        <f t="shared" si="8"/>
        <v>2.5399999999999999E-2</v>
      </c>
    </row>
    <row r="575" spans="1:11" x14ac:dyDescent="0.2">
      <c r="A575" s="3">
        <v>44799</v>
      </c>
      <c r="B575" s="4" t="s">
        <v>10</v>
      </c>
      <c r="C575" s="4">
        <v>19.899999999999999</v>
      </c>
      <c r="D575" s="4">
        <v>9.5</v>
      </c>
      <c r="E575" s="4">
        <v>15.3</v>
      </c>
      <c r="F575" s="4">
        <v>15.2</v>
      </c>
      <c r="G575" s="4">
        <v>1E-3</v>
      </c>
      <c r="H575" s="4" t="s">
        <v>11</v>
      </c>
      <c r="I575" s="4">
        <v>7.1</v>
      </c>
      <c r="J575" s="4">
        <v>7</v>
      </c>
      <c r="K575" s="5">
        <f t="shared" si="8"/>
        <v>2.5399999999999999E-2</v>
      </c>
    </row>
    <row r="576" spans="1:11" x14ac:dyDescent="0.2">
      <c r="A576" s="3">
        <v>44806</v>
      </c>
      <c r="B576" s="4" t="s">
        <v>10</v>
      </c>
      <c r="C576" s="4">
        <v>21.1</v>
      </c>
      <c r="D576" s="4">
        <v>11.4</v>
      </c>
      <c r="E576" s="4">
        <v>16.2</v>
      </c>
      <c r="F576" s="4">
        <v>16.2</v>
      </c>
      <c r="G576" s="4">
        <v>1E-3</v>
      </c>
      <c r="H576" s="4" t="s">
        <v>11</v>
      </c>
      <c r="I576" s="4">
        <v>10.4</v>
      </c>
      <c r="J576" s="4">
        <v>6</v>
      </c>
      <c r="K576" s="5">
        <f t="shared" si="8"/>
        <v>2.5399999999999999E-2</v>
      </c>
    </row>
    <row r="577" spans="1:11" x14ac:dyDescent="0.2">
      <c r="A577" s="3">
        <v>44800</v>
      </c>
      <c r="B577" s="4" t="s">
        <v>10</v>
      </c>
      <c r="C577" s="4">
        <v>21.8</v>
      </c>
      <c r="D577" s="4">
        <v>12.3</v>
      </c>
      <c r="E577" s="4">
        <v>16.899999999999999</v>
      </c>
      <c r="F577" s="4">
        <v>16.899999999999999</v>
      </c>
      <c r="G577" s="4">
        <v>1E-3</v>
      </c>
      <c r="H577" s="4" t="s">
        <v>11</v>
      </c>
      <c r="I577" s="4">
        <v>8.3000000000000007</v>
      </c>
      <c r="J577" s="4">
        <v>6</v>
      </c>
      <c r="K577" s="5">
        <f t="shared" si="8"/>
        <v>2.5399999999999999E-2</v>
      </c>
    </row>
    <row r="578" spans="1:11" x14ac:dyDescent="0.2">
      <c r="A578" s="3">
        <v>45098</v>
      </c>
      <c r="B578" s="4" t="s">
        <v>10</v>
      </c>
      <c r="C578" s="4">
        <v>22.8</v>
      </c>
      <c r="D578" s="4">
        <v>13.4</v>
      </c>
      <c r="E578" s="4">
        <v>18.600000000000001</v>
      </c>
      <c r="F578" s="4">
        <v>18.600000000000001</v>
      </c>
      <c r="G578" s="4">
        <v>1E-3</v>
      </c>
      <c r="H578" s="4" t="s">
        <v>11</v>
      </c>
      <c r="I578" s="4">
        <v>14.4</v>
      </c>
      <c r="J578" s="4">
        <v>9</v>
      </c>
      <c r="K578" s="5">
        <f t="shared" ref="K578:K641" si="9">SUM(G578*25.4)</f>
        <v>2.5399999999999999E-2</v>
      </c>
    </row>
    <row r="579" spans="1:11" x14ac:dyDescent="0.2">
      <c r="A579" s="3">
        <v>45177</v>
      </c>
      <c r="B579" s="4" t="s">
        <v>10</v>
      </c>
      <c r="C579" s="4">
        <v>25.6</v>
      </c>
      <c r="D579" s="4">
        <v>14.3</v>
      </c>
      <c r="E579" s="4">
        <v>19</v>
      </c>
      <c r="F579" s="4">
        <v>19</v>
      </c>
      <c r="G579" s="4">
        <v>1E-3</v>
      </c>
      <c r="H579" s="4" t="s">
        <v>11</v>
      </c>
      <c r="I579" s="4">
        <v>5.4</v>
      </c>
      <c r="J579" s="4">
        <v>6</v>
      </c>
      <c r="K579" s="5">
        <f t="shared" si="9"/>
        <v>2.5399999999999999E-2</v>
      </c>
    </row>
    <row r="580" spans="1:11" x14ac:dyDescent="0.2">
      <c r="A580" s="3">
        <v>44907</v>
      </c>
      <c r="B580" s="4" t="s">
        <v>10</v>
      </c>
      <c r="C580" s="4">
        <v>-1.3</v>
      </c>
      <c r="D580" s="4">
        <v>-3.1</v>
      </c>
      <c r="E580" s="4">
        <v>-2.2000000000000002</v>
      </c>
      <c r="F580" s="4">
        <v>-2.6</v>
      </c>
      <c r="G580" s="4">
        <v>0</v>
      </c>
      <c r="H580" s="4" t="s">
        <v>13</v>
      </c>
      <c r="I580" s="4">
        <v>3.9</v>
      </c>
      <c r="J580" s="4">
        <v>1</v>
      </c>
      <c r="K580" s="5">
        <f t="shared" si="9"/>
        <v>0</v>
      </c>
    </row>
    <row r="581" spans="1:11" x14ac:dyDescent="0.2">
      <c r="A581" s="3">
        <v>44908</v>
      </c>
      <c r="B581" s="4" t="s">
        <v>10</v>
      </c>
      <c r="C581" s="4">
        <v>-0.8</v>
      </c>
      <c r="D581" s="4">
        <v>-4.2</v>
      </c>
      <c r="E581" s="4">
        <v>-2.2000000000000002</v>
      </c>
      <c r="F581" s="4">
        <v>-3</v>
      </c>
      <c r="G581" s="4">
        <v>0</v>
      </c>
      <c r="H581" s="4" t="s">
        <v>13</v>
      </c>
      <c r="I581" s="4">
        <v>4.4000000000000004</v>
      </c>
      <c r="J581" s="4">
        <v>1</v>
      </c>
      <c r="K581" s="5">
        <f t="shared" si="9"/>
        <v>0</v>
      </c>
    </row>
    <row r="582" spans="1:11" x14ac:dyDescent="0.2">
      <c r="A582" s="3">
        <v>45262</v>
      </c>
      <c r="B582" s="4" t="s">
        <v>10</v>
      </c>
      <c r="C582" s="4">
        <v>-0.4</v>
      </c>
      <c r="D582" s="4">
        <v>-4.3</v>
      </c>
      <c r="E582" s="4">
        <v>-2.2000000000000002</v>
      </c>
      <c r="F582" s="4">
        <v>-3.3</v>
      </c>
      <c r="G582" s="4">
        <v>0</v>
      </c>
      <c r="H582" s="4" t="s">
        <v>13</v>
      </c>
      <c r="I582" s="4">
        <v>4.8</v>
      </c>
      <c r="J582" s="4">
        <v>3</v>
      </c>
      <c r="K582" s="5">
        <f t="shared" si="9"/>
        <v>0</v>
      </c>
    </row>
    <row r="583" spans="1:11" x14ac:dyDescent="0.2">
      <c r="A583" s="3">
        <v>44909</v>
      </c>
      <c r="B583" s="4" t="s">
        <v>10</v>
      </c>
      <c r="C583" s="4">
        <v>0.4</v>
      </c>
      <c r="D583" s="4">
        <v>-4.7</v>
      </c>
      <c r="E583" s="4">
        <v>-2.2000000000000002</v>
      </c>
      <c r="F583" s="4">
        <v>-6.2</v>
      </c>
      <c r="G583" s="4">
        <v>0</v>
      </c>
      <c r="H583" s="4" t="s">
        <v>13</v>
      </c>
      <c r="I583" s="4">
        <v>11.5</v>
      </c>
      <c r="J583" s="4">
        <v>2</v>
      </c>
      <c r="K583" s="5">
        <f t="shared" si="9"/>
        <v>0</v>
      </c>
    </row>
    <row r="584" spans="1:11" x14ac:dyDescent="0.2">
      <c r="A584" s="3">
        <v>44943</v>
      </c>
      <c r="B584" s="4" t="s">
        <v>10</v>
      </c>
      <c r="C584" s="4">
        <v>1.9</v>
      </c>
      <c r="D584" s="4">
        <v>-5.0999999999999996</v>
      </c>
      <c r="E584" s="4">
        <v>-1.9</v>
      </c>
      <c r="F584" s="4">
        <v>-5.9</v>
      </c>
      <c r="G584" s="4">
        <v>0</v>
      </c>
      <c r="H584" s="4" t="s">
        <v>13</v>
      </c>
      <c r="I584" s="4">
        <v>11.8</v>
      </c>
      <c r="J584" s="4">
        <v>3</v>
      </c>
      <c r="K584" s="5">
        <f t="shared" si="9"/>
        <v>0</v>
      </c>
    </row>
    <row r="585" spans="1:11" x14ac:dyDescent="0.2">
      <c r="A585" s="3">
        <v>44910</v>
      </c>
      <c r="B585" s="4" t="s">
        <v>10</v>
      </c>
      <c r="C585" s="4">
        <v>2.6</v>
      </c>
      <c r="D585" s="4">
        <v>-5.2</v>
      </c>
      <c r="E585" s="4">
        <v>-1.9</v>
      </c>
      <c r="F585" s="4">
        <v>-6</v>
      </c>
      <c r="G585" s="4">
        <v>0</v>
      </c>
      <c r="H585" s="4" t="s">
        <v>13</v>
      </c>
      <c r="I585" s="4">
        <v>12.7</v>
      </c>
      <c r="J585" s="4">
        <v>2</v>
      </c>
      <c r="K585" s="5">
        <f t="shared" si="9"/>
        <v>0</v>
      </c>
    </row>
    <row r="586" spans="1:11" x14ac:dyDescent="0.2">
      <c r="A586" s="3">
        <v>45256</v>
      </c>
      <c r="B586" s="4" t="s">
        <v>10</v>
      </c>
      <c r="C586" s="4">
        <v>3.4</v>
      </c>
      <c r="D586" s="4">
        <v>-0.4</v>
      </c>
      <c r="E586" s="4">
        <v>1.4</v>
      </c>
      <c r="F586" s="4">
        <v>-0.2</v>
      </c>
      <c r="G586" s="4">
        <v>0</v>
      </c>
      <c r="H586" s="4" t="s">
        <v>13</v>
      </c>
      <c r="I586" s="4">
        <v>6</v>
      </c>
      <c r="J586" s="4">
        <v>1</v>
      </c>
      <c r="K586" s="5">
        <f t="shared" si="9"/>
        <v>0</v>
      </c>
    </row>
    <row r="587" spans="1:11" x14ac:dyDescent="0.2">
      <c r="A587" s="3">
        <v>44585</v>
      </c>
      <c r="B587" s="4" t="s">
        <v>10</v>
      </c>
      <c r="C587" s="4">
        <v>4.4000000000000004</v>
      </c>
      <c r="D587" s="4">
        <v>-1.6</v>
      </c>
      <c r="E587" s="4">
        <v>2.5</v>
      </c>
      <c r="F587" s="4">
        <v>0</v>
      </c>
      <c r="G587" s="4">
        <v>0</v>
      </c>
      <c r="H587" s="4" t="s">
        <v>13</v>
      </c>
      <c r="I587" s="4">
        <v>7.6</v>
      </c>
      <c r="J587" s="4">
        <v>1</v>
      </c>
      <c r="K587" s="5">
        <f t="shared" si="9"/>
        <v>0</v>
      </c>
    </row>
    <row r="588" spans="1:11" x14ac:dyDescent="0.2">
      <c r="A588" s="3">
        <v>44627</v>
      </c>
      <c r="B588" s="4" t="s">
        <v>10</v>
      </c>
      <c r="C588" s="4">
        <v>6.4</v>
      </c>
      <c r="D588" s="4">
        <v>-3.4</v>
      </c>
      <c r="E588" s="4">
        <v>1.5</v>
      </c>
      <c r="F588" s="4">
        <v>-0.7</v>
      </c>
      <c r="G588" s="4">
        <v>0</v>
      </c>
      <c r="H588" s="4" t="s">
        <v>13</v>
      </c>
      <c r="I588" s="4">
        <v>11.6</v>
      </c>
      <c r="J588" s="4">
        <v>3</v>
      </c>
      <c r="K588" s="5">
        <f t="shared" si="9"/>
        <v>0</v>
      </c>
    </row>
    <row r="589" spans="1:11" x14ac:dyDescent="0.2">
      <c r="A589" s="3">
        <v>44970</v>
      </c>
      <c r="B589" s="4" t="s">
        <v>10</v>
      </c>
      <c r="C589" s="4">
        <v>6.7</v>
      </c>
      <c r="D589" s="4">
        <v>0.2</v>
      </c>
      <c r="E589" s="4">
        <v>4.4000000000000004</v>
      </c>
      <c r="F589" s="4">
        <v>1.4</v>
      </c>
      <c r="G589" s="4">
        <v>0</v>
      </c>
      <c r="H589" s="4" t="s">
        <v>13</v>
      </c>
      <c r="I589" s="4">
        <v>10.8</v>
      </c>
      <c r="J589" s="4">
        <v>3</v>
      </c>
      <c r="K589" s="5">
        <f t="shared" si="9"/>
        <v>0</v>
      </c>
    </row>
    <row r="590" spans="1:11" x14ac:dyDescent="0.2">
      <c r="A590" s="3">
        <v>44962</v>
      </c>
      <c r="B590" s="4" t="s">
        <v>10</v>
      </c>
      <c r="C590" s="4">
        <v>7.2</v>
      </c>
      <c r="D590" s="4">
        <v>-1</v>
      </c>
      <c r="E590" s="4">
        <v>2.6</v>
      </c>
      <c r="F590" s="4">
        <v>0.6</v>
      </c>
      <c r="G590" s="4">
        <v>0</v>
      </c>
      <c r="H590" s="4" t="s">
        <v>13</v>
      </c>
      <c r="I590" s="4">
        <v>9.9</v>
      </c>
      <c r="J590" s="4">
        <v>3</v>
      </c>
      <c r="K590" s="5">
        <f t="shared" si="9"/>
        <v>0</v>
      </c>
    </row>
    <row r="591" spans="1:11" x14ac:dyDescent="0.2">
      <c r="A591" s="3">
        <v>44963</v>
      </c>
      <c r="B591" s="4" t="s">
        <v>10</v>
      </c>
      <c r="C591" s="4">
        <v>7.3</v>
      </c>
      <c r="D591" s="4">
        <v>-1.8</v>
      </c>
      <c r="E591" s="4">
        <v>2.1</v>
      </c>
      <c r="F591" s="4">
        <v>-0.7</v>
      </c>
      <c r="G591" s="4">
        <v>0</v>
      </c>
      <c r="H591" s="4" t="s">
        <v>13</v>
      </c>
      <c r="I591" s="4">
        <v>8.6999999999999993</v>
      </c>
      <c r="J591" s="4">
        <v>4</v>
      </c>
      <c r="K591" s="5">
        <f t="shared" si="9"/>
        <v>0</v>
      </c>
    </row>
    <row r="592" spans="1:11" x14ac:dyDescent="0.2">
      <c r="A592" s="3">
        <v>44575</v>
      </c>
      <c r="B592" s="4" t="s">
        <v>10</v>
      </c>
      <c r="C592" s="4">
        <v>7.4</v>
      </c>
      <c r="D592" s="4">
        <v>-0.8</v>
      </c>
      <c r="E592" s="4">
        <v>2.1</v>
      </c>
      <c r="F592" s="4">
        <v>0.6</v>
      </c>
      <c r="G592" s="4">
        <v>0</v>
      </c>
      <c r="H592" s="4" t="s">
        <v>13</v>
      </c>
      <c r="I592" s="4">
        <v>7</v>
      </c>
      <c r="J592" s="4">
        <v>2</v>
      </c>
      <c r="K592" s="5">
        <f t="shared" si="9"/>
        <v>0</v>
      </c>
    </row>
    <row r="593" spans="1:11" x14ac:dyDescent="0.2">
      <c r="A593" s="3">
        <v>44582</v>
      </c>
      <c r="B593" s="4" t="s">
        <v>10</v>
      </c>
      <c r="C593" s="4">
        <v>7.5</v>
      </c>
      <c r="D593" s="4">
        <v>-1.9</v>
      </c>
      <c r="E593" s="4">
        <v>2.2999999999999998</v>
      </c>
      <c r="F593" s="4">
        <v>-0.6</v>
      </c>
      <c r="G593" s="4">
        <v>0</v>
      </c>
      <c r="H593" s="4" t="s">
        <v>13</v>
      </c>
      <c r="I593" s="4">
        <v>10.3</v>
      </c>
      <c r="J593" s="4">
        <v>2</v>
      </c>
      <c r="K593" s="5">
        <f t="shared" si="9"/>
        <v>0</v>
      </c>
    </row>
    <row r="594" spans="1:11" x14ac:dyDescent="0.2">
      <c r="A594" s="3">
        <v>44965</v>
      </c>
      <c r="B594" s="4" t="s">
        <v>10</v>
      </c>
      <c r="C594" s="4">
        <v>7.8</v>
      </c>
      <c r="D594" s="4">
        <v>1.3</v>
      </c>
      <c r="E594" s="4">
        <v>4.8</v>
      </c>
      <c r="F594" s="4">
        <v>1.6</v>
      </c>
      <c r="G594" s="4">
        <v>0</v>
      </c>
      <c r="H594" s="4" t="s">
        <v>13</v>
      </c>
      <c r="I594" s="4">
        <v>14.8</v>
      </c>
      <c r="J594" s="4">
        <v>3</v>
      </c>
      <c r="K594" s="5">
        <f t="shared" si="9"/>
        <v>0</v>
      </c>
    </row>
    <row r="595" spans="1:11" x14ac:dyDescent="0.2">
      <c r="A595" s="3">
        <v>44628</v>
      </c>
      <c r="B595" s="4" t="s">
        <v>10</v>
      </c>
      <c r="C595" s="4">
        <v>8.4</v>
      </c>
      <c r="D595" s="4">
        <v>0.9</v>
      </c>
      <c r="E595" s="4">
        <v>4.5999999999999996</v>
      </c>
      <c r="F595" s="4">
        <v>0.3</v>
      </c>
      <c r="G595" s="4">
        <v>0</v>
      </c>
      <c r="H595" s="4" t="s">
        <v>13</v>
      </c>
      <c r="I595" s="4">
        <v>19.600000000000001</v>
      </c>
      <c r="J595" s="4">
        <v>5</v>
      </c>
      <c r="K595" s="5">
        <f t="shared" si="9"/>
        <v>0</v>
      </c>
    </row>
    <row r="596" spans="1:11" x14ac:dyDescent="0.2">
      <c r="A596" s="3">
        <v>44679</v>
      </c>
      <c r="B596" s="4" t="s">
        <v>10</v>
      </c>
      <c r="C596" s="4">
        <v>8.5</v>
      </c>
      <c r="D596" s="4">
        <v>4.5999999999999996</v>
      </c>
      <c r="E596" s="4">
        <v>6.6</v>
      </c>
      <c r="F596" s="4">
        <v>5.2</v>
      </c>
      <c r="G596" s="4">
        <v>0</v>
      </c>
      <c r="H596" s="4" t="s">
        <v>13</v>
      </c>
      <c r="I596" s="4">
        <v>6.4</v>
      </c>
      <c r="J596" s="4">
        <v>4</v>
      </c>
      <c r="K596" s="5">
        <f t="shared" si="9"/>
        <v>0</v>
      </c>
    </row>
    <row r="597" spans="1:11" x14ac:dyDescent="0.2">
      <c r="A597" s="3">
        <v>44969</v>
      </c>
      <c r="B597" s="4" t="s">
        <v>10</v>
      </c>
      <c r="C597" s="4">
        <v>8.5</v>
      </c>
      <c r="D597" s="4">
        <v>5.7</v>
      </c>
      <c r="E597" s="4">
        <v>6.8</v>
      </c>
      <c r="F597" s="4">
        <v>5.5</v>
      </c>
      <c r="G597" s="4">
        <v>0</v>
      </c>
      <c r="H597" s="4" t="s">
        <v>13</v>
      </c>
      <c r="I597" s="4">
        <v>8.4</v>
      </c>
      <c r="J597" s="4">
        <v>1</v>
      </c>
      <c r="K597" s="5">
        <f t="shared" si="9"/>
        <v>0</v>
      </c>
    </row>
    <row r="598" spans="1:11" x14ac:dyDescent="0.2">
      <c r="A598" s="3">
        <v>44619</v>
      </c>
      <c r="B598" s="4" t="s">
        <v>10</v>
      </c>
      <c r="C598" s="4">
        <v>8.6999999999999993</v>
      </c>
      <c r="D598" s="4">
        <v>1.3</v>
      </c>
      <c r="E598" s="4">
        <v>4.5</v>
      </c>
      <c r="F598" s="4">
        <v>0.1</v>
      </c>
      <c r="G598" s="4">
        <v>0</v>
      </c>
      <c r="H598" s="4" t="s">
        <v>13</v>
      </c>
      <c r="I598" s="4">
        <v>18.600000000000001</v>
      </c>
      <c r="J598" s="4">
        <v>4</v>
      </c>
      <c r="K598" s="5">
        <f t="shared" si="9"/>
        <v>0</v>
      </c>
    </row>
    <row r="599" spans="1:11" x14ac:dyDescent="0.2">
      <c r="A599" s="3">
        <v>44678</v>
      </c>
      <c r="B599" s="4" t="s">
        <v>10</v>
      </c>
      <c r="C599" s="4">
        <v>8.6999999999999993</v>
      </c>
      <c r="D599" s="4">
        <v>4.9000000000000004</v>
      </c>
      <c r="E599" s="4">
        <v>6.7</v>
      </c>
      <c r="F599" s="4">
        <v>4.7</v>
      </c>
      <c r="G599" s="4">
        <v>0</v>
      </c>
      <c r="H599" s="4" t="s">
        <v>13</v>
      </c>
      <c r="I599" s="4">
        <v>9</v>
      </c>
      <c r="J599" s="4">
        <v>3</v>
      </c>
      <c r="K599" s="5">
        <f t="shared" si="9"/>
        <v>0</v>
      </c>
    </row>
    <row r="600" spans="1:11" x14ac:dyDescent="0.2">
      <c r="A600" s="3">
        <v>44956</v>
      </c>
      <c r="B600" s="4" t="s">
        <v>10</v>
      </c>
      <c r="C600" s="4">
        <v>8.8000000000000007</v>
      </c>
      <c r="D600" s="4">
        <v>5.3</v>
      </c>
      <c r="E600" s="4">
        <v>6.5</v>
      </c>
      <c r="F600" s="4">
        <v>2.7</v>
      </c>
      <c r="G600" s="4">
        <v>0</v>
      </c>
      <c r="H600" s="4" t="s">
        <v>13</v>
      </c>
      <c r="I600" s="4">
        <v>20.2</v>
      </c>
      <c r="J600" s="4">
        <v>3</v>
      </c>
      <c r="K600" s="5">
        <f t="shared" si="9"/>
        <v>0</v>
      </c>
    </row>
    <row r="601" spans="1:11" x14ac:dyDescent="0.2">
      <c r="A601" s="3">
        <v>44961</v>
      </c>
      <c r="B601" s="4" t="s">
        <v>10</v>
      </c>
      <c r="C601" s="4">
        <v>9.1999999999999993</v>
      </c>
      <c r="D601" s="4">
        <v>4.9000000000000004</v>
      </c>
      <c r="E601" s="4">
        <v>8.3000000000000007</v>
      </c>
      <c r="F601" s="4">
        <v>5.8</v>
      </c>
      <c r="G601" s="4">
        <v>0</v>
      </c>
      <c r="H601" s="4" t="s">
        <v>13</v>
      </c>
      <c r="I601" s="4">
        <v>15.4</v>
      </c>
      <c r="J601" s="4">
        <v>1</v>
      </c>
      <c r="K601" s="5">
        <f t="shared" si="9"/>
        <v>0</v>
      </c>
    </row>
    <row r="602" spans="1:11" x14ac:dyDescent="0.2">
      <c r="A602" s="3">
        <v>44618</v>
      </c>
      <c r="B602" s="4" t="s">
        <v>10</v>
      </c>
      <c r="C602" s="4">
        <v>9.4</v>
      </c>
      <c r="D602" s="4">
        <v>1.4</v>
      </c>
      <c r="E602" s="4">
        <v>5.0999999999999996</v>
      </c>
      <c r="F602" s="4">
        <v>1.4</v>
      </c>
      <c r="G602" s="4">
        <v>0</v>
      </c>
      <c r="H602" s="4" t="s">
        <v>13</v>
      </c>
      <c r="I602" s="4">
        <v>17</v>
      </c>
      <c r="J602" s="4">
        <v>4</v>
      </c>
      <c r="K602" s="5">
        <f t="shared" si="9"/>
        <v>0</v>
      </c>
    </row>
    <row r="603" spans="1:11" x14ac:dyDescent="0.2">
      <c r="A603" s="3">
        <v>44967</v>
      </c>
      <c r="B603" s="4" t="s">
        <v>10</v>
      </c>
      <c r="C603" s="4">
        <v>9.5</v>
      </c>
      <c r="D603" s="4">
        <v>4.2</v>
      </c>
      <c r="E603" s="4">
        <v>6.8</v>
      </c>
      <c r="F603" s="4">
        <v>3.5</v>
      </c>
      <c r="G603" s="4">
        <v>0</v>
      </c>
      <c r="H603" s="4" t="s">
        <v>13</v>
      </c>
      <c r="I603" s="4">
        <v>16.100000000000001</v>
      </c>
      <c r="J603" s="4">
        <v>0</v>
      </c>
      <c r="K603" s="5">
        <f t="shared" si="9"/>
        <v>0</v>
      </c>
    </row>
    <row r="604" spans="1:11" x14ac:dyDescent="0.2">
      <c r="A604" s="3">
        <v>44654</v>
      </c>
      <c r="B604" s="4" t="s">
        <v>10</v>
      </c>
      <c r="C604" s="4">
        <v>9.9</v>
      </c>
      <c r="D604" s="4">
        <v>-1.4</v>
      </c>
      <c r="E604" s="4">
        <v>4.5</v>
      </c>
      <c r="F604" s="4">
        <v>2.2000000000000002</v>
      </c>
      <c r="G604" s="4">
        <v>0</v>
      </c>
      <c r="H604" s="4" t="s">
        <v>13</v>
      </c>
      <c r="I604" s="4">
        <v>15.8</v>
      </c>
      <c r="J604" s="4">
        <v>7</v>
      </c>
      <c r="K604" s="5">
        <f t="shared" si="9"/>
        <v>0</v>
      </c>
    </row>
    <row r="605" spans="1:11" x14ac:dyDescent="0.2">
      <c r="A605" s="3">
        <v>45275</v>
      </c>
      <c r="B605" s="4" t="s">
        <v>10</v>
      </c>
      <c r="C605" s="4">
        <v>9.9</v>
      </c>
      <c r="D605" s="4">
        <v>4.8</v>
      </c>
      <c r="E605" s="4">
        <v>6.8</v>
      </c>
      <c r="F605" s="4">
        <v>3.9</v>
      </c>
      <c r="G605" s="4">
        <v>0</v>
      </c>
      <c r="H605" s="4" t="s">
        <v>13</v>
      </c>
      <c r="I605" s="4">
        <v>14.2</v>
      </c>
      <c r="J605" s="4">
        <v>1</v>
      </c>
      <c r="K605" s="5">
        <f t="shared" si="9"/>
        <v>0</v>
      </c>
    </row>
    <row r="606" spans="1:11" x14ac:dyDescent="0.2">
      <c r="A606" s="3">
        <v>45019</v>
      </c>
      <c r="B606" s="4" t="s">
        <v>10</v>
      </c>
      <c r="C606" s="4">
        <v>10.199999999999999</v>
      </c>
      <c r="D606" s="4">
        <v>-2.6</v>
      </c>
      <c r="E606" s="4">
        <v>4</v>
      </c>
      <c r="F606" s="4">
        <v>2.4</v>
      </c>
      <c r="G606" s="4">
        <v>0</v>
      </c>
      <c r="H606" s="4" t="s">
        <v>13</v>
      </c>
      <c r="I606" s="4">
        <v>12.1</v>
      </c>
      <c r="J606" s="4">
        <v>7</v>
      </c>
      <c r="K606" s="5">
        <f t="shared" si="9"/>
        <v>0</v>
      </c>
    </row>
    <row r="607" spans="1:11" x14ac:dyDescent="0.2">
      <c r="A607" s="3">
        <v>45215</v>
      </c>
      <c r="B607" s="4" t="s">
        <v>10</v>
      </c>
      <c r="C607" s="4">
        <v>10.199999999999999</v>
      </c>
      <c r="D607" s="4">
        <v>2.2999999999999998</v>
      </c>
      <c r="E607" s="4">
        <v>5.3</v>
      </c>
      <c r="F607" s="4">
        <v>4.8</v>
      </c>
      <c r="G607" s="4">
        <v>0</v>
      </c>
      <c r="H607" s="4" t="s">
        <v>13</v>
      </c>
      <c r="I607" s="4">
        <v>5.0999999999999996</v>
      </c>
      <c r="J607" s="4">
        <v>4</v>
      </c>
      <c r="K607" s="5">
        <f t="shared" si="9"/>
        <v>0</v>
      </c>
    </row>
    <row r="608" spans="1:11" x14ac:dyDescent="0.2">
      <c r="A608" s="3">
        <v>44661</v>
      </c>
      <c r="B608" s="4" t="s">
        <v>10</v>
      </c>
      <c r="C608" s="4">
        <v>10.3</v>
      </c>
      <c r="D608" s="4">
        <v>-1.7</v>
      </c>
      <c r="E608" s="4">
        <v>5.2</v>
      </c>
      <c r="F608" s="4">
        <v>4.0999999999999996</v>
      </c>
      <c r="G608" s="4">
        <v>0</v>
      </c>
      <c r="H608" s="4" t="s">
        <v>13</v>
      </c>
      <c r="I608" s="4">
        <v>8</v>
      </c>
      <c r="J608" s="4">
        <v>6</v>
      </c>
      <c r="K608" s="5">
        <f t="shared" si="9"/>
        <v>0</v>
      </c>
    </row>
    <row r="609" spans="1:11" x14ac:dyDescent="0.2">
      <c r="A609" s="3">
        <v>45042</v>
      </c>
      <c r="B609" s="4" t="s">
        <v>10</v>
      </c>
      <c r="C609" s="4">
        <v>10.4</v>
      </c>
      <c r="D609" s="4">
        <v>1.1000000000000001</v>
      </c>
      <c r="E609" s="4">
        <v>5.9</v>
      </c>
      <c r="F609" s="4">
        <v>5</v>
      </c>
      <c r="G609" s="4">
        <v>0</v>
      </c>
      <c r="H609" s="4" t="s">
        <v>13</v>
      </c>
      <c r="I609" s="4">
        <v>6.3</v>
      </c>
      <c r="J609" s="4">
        <v>7</v>
      </c>
      <c r="K609" s="5">
        <f t="shared" si="9"/>
        <v>0</v>
      </c>
    </row>
    <row r="610" spans="1:11" x14ac:dyDescent="0.2">
      <c r="A610" s="3">
        <v>44968</v>
      </c>
      <c r="B610" s="4" t="s">
        <v>10</v>
      </c>
      <c r="C610" s="4">
        <v>10.5</v>
      </c>
      <c r="D610" s="4">
        <v>6.2</v>
      </c>
      <c r="E610" s="4">
        <v>8</v>
      </c>
      <c r="F610" s="4">
        <v>6.3</v>
      </c>
      <c r="G610" s="4">
        <v>0</v>
      </c>
      <c r="H610" s="4" t="s">
        <v>13</v>
      </c>
      <c r="I610" s="4">
        <v>11.9</v>
      </c>
      <c r="J610" s="4">
        <v>4</v>
      </c>
      <c r="K610" s="5">
        <f t="shared" si="9"/>
        <v>0</v>
      </c>
    </row>
    <row r="611" spans="1:11" x14ac:dyDescent="0.2">
      <c r="A611" s="3">
        <v>44978</v>
      </c>
      <c r="B611" s="4" t="s">
        <v>10</v>
      </c>
      <c r="C611" s="4">
        <v>10.5</v>
      </c>
      <c r="D611" s="4">
        <v>5.4</v>
      </c>
      <c r="E611" s="4">
        <v>8.8000000000000007</v>
      </c>
      <c r="F611" s="4">
        <v>7.2</v>
      </c>
      <c r="G611" s="4">
        <v>0</v>
      </c>
      <c r="H611" s="4" t="s">
        <v>13</v>
      </c>
      <c r="I611" s="4">
        <v>12.1</v>
      </c>
      <c r="J611" s="4">
        <v>2</v>
      </c>
      <c r="K611" s="5">
        <f t="shared" si="9"/>
        <v>0</v>
      </c>
    </row>
    <row r="612" spans="1:11" x14ac:dyDescent="0.2">
      <c r="A612" s="3">
        <v>44676</v>
      </c>
      <c r="B612" s="4" t="s">
        <v>10</v>
      </c>
      <c r="C612" s="4">
        <v>10.7</v>
      </c>
      <c r="D612" s="4">
        <v>4</v>
      </c>
      <c r="E612" s="4">
        <v>7.2</v>
      </c>
      <c r="F612" s="4">
        <v>5.4</v>
      </c>
      <c r="G612" s="4">
        <v>0</v>
      </c>
      <c r="H612" s="4" t="s">
        <v>13</v>
      </c>
      <c r="I612" s="4">
        <v>11.1</v>
      </c>
      <c r="J612" s="4">
        <v>7</v>
      </c>
      <c r="K612" s="5">
        <f t="shared" si="9"/>
        <v>0</v>
      </c>
    </row>
    <row r="613" spans="1:11" x14ac:dyDescent="0.2">
      <c r="A613" s="3">
        <v>45276</v>
      </c>
      <c r="B613" s="4" t="s">
        <v>10</v>
      </c>
      <c r="C613" s="4">
        <v>10.7</v>
      </c>
      <c r="D613" s="4">
        <v>9.1999999999999993</v>
      </c>
      <c r="E613" s="4">
        <v>9.9</v>
      </c>
      <c r="F613" s="4">
        <v>8.4</v>
      </c>
      <c r="G613" s="4">
        <v>0</v>
      </c>
      <c r="H613" s="4" t="s">
        <v>13</v>
      </c>
      <c r="I613" s="4">
        <v>17.8</v>
      </c>
      <c r="J613" s="4">
        <v>1</v>
      </c>
      <c r="K613" s="5">
        <f t="shared" si="9"/>
        <v>0</v>
      </c>
    </row>
    <row r="614" spans="1:11" x14ac:dyDescent="0.2">
      <c r="A614" s="3">
        <v>45023</v>
      </c>
      <c r="B614" s="4" t="s">
        <v>10</v>
      </c>
      <c r="C614" s="4">
        <v>10.8</v>
      </c>
      <c r="D614" s="4">
        <v>2.2000000000000002</v>
      </c>
      <c r="E614" s="4">
        <v>6.7</v>
      </c>
      <c r="F614" s="4">
        <v>5</v>
      </c>
      <c r="G614" s="4">
        <v>0</v>
      </c>
      <c r="H614" s="4" t="s">
        <v>13</v>
      </c>
      <c r="I614" s="4">
        <v>11</v>
      </c>
      <c r="J614" s="4">
        <v>7</v>
      </c>
      <c r="K614" s="5">
        <f t="shared" si="9"/>
        <v>0</v>
      </c>
    </row>
    <row r="615" spans="1:11" x14ac:dyDescent="0.2">
      <c r="A615" s="3">
        <v>45214</v>
      </c>
      <c r="B615" s="4" t="s">
        <v>10</v>
      </c>
      <c r="C615" s="4">
        <v>10.8</v>
      </c>
      <c r="D615" s="4">
        <v>1.1000000000000001</v>
      </c>
      <c r="E615" s="4">
        <v>5.5</v>
      </c>
      <c r="F615" s="4">
        <v>3.3</v>
      </c>
      <c r="G615" s="4">
        <v>0</v>
      </c>
      <c r="H615" s="4" t="s">
        <v>13</v>
      </c>
      <c r="I615" s="4">
        <v>13.4</v>
      </c>
      <c r="J615" s="4">
        <v>5</v>
      </c>
      <c r="K615" s="5">
        <f t="shared" si="9"/>
        <v>0</v>
      </c>
    </row>
    <row r="616" spans="1:11" x14ac:dyDescent="0.2">
      <c r="A616" s="3">
        <v>45025</v>
      </c>
      <c r="B616" s="4" t="s">
        <v>10</v>
      </c>
      <c r="C616" s="4">
        <v>11.9</v>
      </c>
      <c r="D616" s="4">
        <v>4.2</v>
      </c>
      <c r="E616" s="4">
        <v>7.8</v>
      </c>
      <c r="F616" s="4">
        <v>6</v>
      </c>
      <c r="G616" s="4">
        <v>0</v>
      </c>
      <c r="H616" s="4" t="s">
        <v>13</v>
      </c>
      <c r="I616" s="4">
        <v>13.4</v>
      </c>
      <c r="J616" s="4">
        <v>4</v>
      </c>
      <c r="K616" s="5">
        <f t="shared" si="9"/>
        <v>0</v>
      </c>
    </row>
    <row r="617" spans="1:11" x14ac:dyDescent="0.2">
      <c r="A617" s="3">
        <v>44629</v>
      </c>
      <c r="B617" s="4" t="s">
        <v>10</v>
      </c>
      <c r="C617" s="4">
        <v>12</v>
      </c>
      <c r="D617" s="4">
        <v>4.3</v>
      </c>
      <c r="E617" s="4">
        <v>8.1</v>
      </c>
      <c r="F617" s="4">
        <v>5.6</v>
      </c>
      <c r="G617" s="4">
        <v>0</v>
      </c>
      <c r="H617" s="4" t="s">
        <v>13</v>
      </c>
      <c r="I617" s="4">
        <v>19.8</v>
      </c>
      <c r="J617" s="4">
        <v>6</v>
      </c>
      <c r="K617" s="5">
        <f t="shared" si="9"/>
        <v>0</v>
      </c>
    </row>
    <row r="618" spans="1:11" x14ac:dyDescent="0.2">
      <c r="A618" s="3">
        <v>44675</v>
      </c>
      <c r="B618" s="4" t="s">
        <v>10</v>
      </c>
      <c r="C618" s="4">
        <v>12.1</v>
      </c>
      <c r="D618" s="4">
        <v>5.8</v>
      </c>
      <c r="E618" s="4">
        <v>8.6</v>
      </c>
      <c r="F618" s="4">
        <v>6.4</v>
      </c>
      <c r="G618" s="4">
        <v>0</v>
      </c>
      <c r="H618" s="4" t="s">
        <v>13</v>
      </c>
      <c r="I618" s="4">
        <v>17.5</v>
      </c>
      <c r="J618" s="4">
        <v>7</v>
      </c>
      <c r="K618" s="5">
        <f t="shared" si="9"/>
        <v>0</v>
      </c>
    </row>
    <row r="619" spans="1:11" x14ac:dyDescent="0.2">
      <c r="A619" s="3">
        <v>45020</v>
      </c>
      <c r="B619" s="4" t="s">
        <v>10</v>
      </c>
      <c r="C619" s="4">
        <v>12.6</v>
      </c>
      <c r="D619" s="4">
        <v>-1.6</v>
      </c>
      <c r="E619" s="4">
        <v>5.7</v>
      </c>
      <c r="F619" s="4">
        <v>3.6</v>
      </c>
      <c r="G619" s="4">
        <v>0</v>
      </c>
      <c r="H619" s="4" t="s">
        <v>13</v>
      </c>
      <c r="I619" s="4">
        <v>11.5</v>
      </c>
      <c r="J619" s="4">
        <v>7</v>
      </c>
      <c r="K619" s="5">
        <f t="shared" si="9"/>
        <v>0</v>
      </c>
    </row>
    <row r="620" spans="1:11" x14ac:dyDescent="0.2">
      <c r="A620" s="3">
        <v>45036</v>
      </c>
      <c r="B620" s="4" t="s">
        <v>10</v>
      </c>
      <c r="C620" s="4">
        <v>12.6</v>
      </c>
      <c r="D620" s="4">
        <v>3.2</v>
      </c>
      <c r="E620" s="4">
        <v>8.1</v>
      </c>
      <c r="F620" s="4">
        <v>6.4</v>
      </c>
      <c r="G620" s="4">
        <v>0</v>
      </c>
      <c r="H620" s="4" t="s">
        <v>13</v>
      </c>
      <c r="I620" s="4">
        <v>19</v>
      </c>
      <c r="J620" s="4">
        <v>9</v>
      </c>
      <c r="K620" s="5">
        <f t="shared" si="9"/>
        <v>0</v>
      </c>
    </row>
    <row r="621" spans="1:11" x14ac:dyDescent="0.2">
      <c r="A621" s="3">
        <v>44635</v>
      </c>
      <c r="B621" s="4" t="s">
        <v>10</v>
      </c>
      <c r="C621" s="4">
        <v>12.8</v>
      </c>
      <c r="D621" s="4">
        <v>-0.1</v>
      </c>
      <c r="E621" s="4">
        <v>7.1</v>
      </c>
      <c r="F621" s="4">
        <v>5.4</v>
      </c>
      <c r="G621" s="4">
        <v>0</v>
      </c>
      <c r="H621" s="4" t="s">
        <v>13</v>
      </c>
      <c r="I621" s="4">
        <v>14.3</v>
      </c>
      <c r="J621" s="4">
        <v>5</v>
      </c>
      <c r="K621" s="5">
        <f t="shared" si="9"/>
        <v>0</v>
      </c>
    </row>
    <row r="622" spans="1:11" x14ac:dyDescent="0.2">
      <c r="A622" s="3">
        <v>44845</v>
      </c>
      <c r="B622" s="4" t="s">
        <v>10</v>
      </c>
      <c r="C622" s="4">
        <v>12.8</v>
      </c>
      <c r="D622" s="4">
        <v>5.2</v>
      </c>
      <c r="E622" s="4">
        <v>8.9</v>
      </c>
      <c r="F622" s="4">
        <v>7.8</v>
      </c>
      <c r="G622" s="4">
        <v>0</v>
      </c>
      <c r="H622" s="4" t="s">
        <v>13</v>
      </c>
      <c r="I622" s="4">
        <v>10.7</v>
      </c>
      <c r="J622" s="4">
        <v>4</v>
      </c>
      <c r="K622" s="5">
        <f t="shared" si="9"/>
        <v>0</v>
      </c>
    </row>
    <row r="623" spans="1:11" x14ac:dyDescent="0.2">
      <c r="A623" s="3">
        <v>44680</v>
      </c>
      <c r="B623" s="4" t="s">
        <v>10</v>
      </c>
      <c r="C623" s="4">
        <v>12.9</v>
      </c>
      <c r="D623" s="4">
        <v>0.8</v>
      </c>
      <c r="E623" s="4">
        <v>7.2</v>
      </c>
      <c r="F623" s="4">
        <v>7.1</v>
      </c>
      <c r="G623" s="4">
        <v>0</v>
      </c>
      <c r="H623" s="4" t="s">
        <v>13</v>
      </c>
      <c r="I623" s="4">
        <v>6.3</v>
      </c>
      <c r="J623" s="4">
        <v>8</v>
      </c>
      <c r="K623" s="5">
        <f t="shared" si="9"/>
        <v>0</v>
      </c>
    </row>
    <row r="624" spans="1:11" x14ac:dyDescent="0.2">
      <c r="A624" s="3">
        <v>44877</v>
      </c>
      <c r="B624" s="4" t="s">
        <v>10</v>
      </c>
      <c r="C624" s="4">
        <v>12.9</v>
      </c>
      <c r="D624" s="4">
        <v>9.1</v>
      </c>
      <c r="E624" s="4">
        <v>10.6</v>
      </c>
      <c r="F624" s="4">
        <v>9.8000000000000007</v>
      </c>
      <c r="G624" s="4">
        <v>0</v>
      </c>
      <c r="H624" s="4" t="s">
        <v>13</v>
      </c>
      <c r="I624" s="4">
        <v>12.5</v>
      </c>
      <c r="J624" s="4">
        <v>3</v>
      </c>
      <c r="K624" s="5">
        <f t="shared" si="9"/>
        <v>0</v>
      </c>
    </row>
    <row r="625" spans="1:11" x14ac:dyDescent="0.2">
      <c r="A625" s="3">
        <v>44674</v>
      </c>
      <c r="B625" s="4" t="s">
        <v>10</v>
      </c>
      <c r="C625" s="4">
        <v>13.2</v>
      </c>
      <c r="D625" s="4">
        <v>6.7</v>
      </c>
      <c r="E625" s="4">
        <v>9.6</v>
      </c>
      <c r="F625" s="4">
        <v>7.7</v>
      </c>
      <c r="G625" s="4">
        <v>0</v>
      </c>
      <c r="H625" s="4" t="s">
        <v>13</v>
      </c>
      <c r="I625" s="4">
        <v>19.899999999999999</v>
      </c>
      <c r="J625" s="4">
        <v>7</v>
      </c>
      <c r="K625" s="5">
        <f t="shared" si="9"/>
        <v>0</v>
      </c>
    </row>
    <row r="626" spans="1:11" x14ac:dyDescent="0.2">
      <c r="A626" s="3">
        <v>45033</v>
      </c>
      <c r="B626" s="4" t="s">
        <v>10</v>
      </c>
      <c r="C626" s="4">
        <v>13.3</v>
      </c>
      <c r="D626" s="4">
        <v>5.6</v>
      </c>
      <c r="E626" s="4">
        <v>10.1</v>
      </c>
      <c r="F626" s="4">
        <v>9.3000000000000007</v>
      </c>
      <c r="G626" s="4">
        <v>0</v>
      </c>
      <c r="H626" s="4" t="s">
        <v>13</v>
      </c>
      <c r="I626" s="4">
        <v>9.6</v>
      </c>
      <c r="J626" s="4">
        <v>5</v>
      </c>
      <c r="K626" s="5">
        <f t="shared" si="9"/>
        <v>0</v>
      </c>
    </row>
    <row r="627" spans="1:11" x14ac:dyDescent="0.2">
      <c r="A627" s="3">
        <v>45035</v>
      </c>
      <c r="B627" s="4" t="s">
        <v>10</v>
      </c>
      <c r="C627" s="4">
        <v>13.3</v>
      </c>
      <c r="D627" s="4">
        <v>5.0999999999999996</v>
      </c>
      <c r="E627" s="4">
        <v>8.5</v>
      </c>
      <c r="F627" s="4">
        <v>6.7</v>
      </c>
      <c r="G627" s="4">
        <v>0</v>
      </c>
      <c r="H627" s="4" t="s">
        <v>13</v>
      </c>
      <c r="I627" s="4">
        <v>18.899999999999999</v>
      </c>
      <c r="J627" s="4">
        <v>8</v>
      </c>
      <c r="K627" s="5">
        <f t="shared" si="9"/>
        <v>0</v>
      </c>
    </row>
    <row r="628" spans="1:11" x14ac:dyDescent="0.2">
      <c r="A628" s="3">
        <v>45034</v>
      </c>
      <c r="B628" s="4" t="s">
        <v>10</v>
      </c>
      <c r="C628" s="4">
        <v>13.4</v>
      </c>
      <c r="D628" s="4">
        <v>5.3</v>
      </c>
      <c r="E628" s="4">
        <v>8.5</v>
      </c>
      <c r="F628" s="4">
        <v>6.8</v>
      </c>
      <c r="G628" s="4">
        <v>0</v>
      </c>
      <c r="H628" s="4" t="s">
        <v>13</v>
      </c>
      <c r="I628" s="4">
        <v>16.100000000000001</v>
      </c>
      <c r="J628" s="4">
        <v>7</v>
      </c>
      <c r="K628" s="5">
        <f t="shared" si="9"/>
        <v>0</v>
      </c>
    </row>
    <row r="629" spans="1:11" x14ac:dyDescent="0.2">
      <c r="A629" s="3">
        <v>45049</v>
      </c>
      <c r="B629" s="4" t="s">
        <v>10</v>
      </c>
      <c r="C629" s="4">
        <v>13.6</v>
      </c>
      <c r="D629" s="4">
        <v>3.4</v>
      </c>
      <c r="E629" s="4">
        <v>8.4</v>
      </c>
      <c r="F629" s="4">
        <v>7.1</v>
      </c>
      <c r="G629" s="4">
        <v>0</v>
      </c>
      <c r="H629" s="4" t="s">
        <v>13</v>
      </c>
      <c r="I629" s="4">
        <v>14.3</v>
      </c>
      <c r="J629" s="4">
        <v>7</v>
      </c>
      <c r="K629" s="5">
        <f t="shared" si="9"/>
        <v>0</v>
      </c>
    </row>
    <row r="630" spans="1:11" x14ac:dyDescent="0.2">
      <c r="A630" s="3">
        <v>44716</v>
      </c>
      <c r="B630" s="4" t="s">
        <v>10</v>
      </c>
      <c r="C630" s="4">
        <v>13.8</v>
      </c>
      <c r="D630" s="4">
        <v>8.3000000000000007</v>
      </c>
      <c r="E630" s="4">
        <v>11.2</v>
      </c>
      <c r="F630" s="4">
        <v>10.9</v>
      </c>
      <c r="G630" s="4">
        <v>0</v>
      </c>
      <c r="H630" s="4" t="s">
        <v>13</v>
      </c>
      <c r="I630" s="4">
        <v>12.8</v>
      </c>
      <c r="J630" s="4">
        <v>6</v>
      </c>
      <c r="K630" s="5">
        <f t="shared" si="9"/>
        <v>0</v>
      </c>
    </row>
    <row r="631" spans="1:11" x14ac:dyDescent="0.2">
      <c r="A631" s="3">
        <v>44630</v>
      </c>
      <c r="B631" s="4" t="s">
        <v>10</v>
      </c>
      <c r="C631" s="4">
        <v>13.9</v>
      </c>
      <c r="D631" s="4">
        <v>7.1</v>
      </c>
      <c r="E631" s="4">
        <v>10.199999999999999</v>
      </c>
      <c r="F631" s="4">
        <v>8.6999999999999993</v>
      </c>
      <c r="G631" s="4">
        <v>0</v>
      </c>
      <c r="H631" s="4" t="s">
        <v>13</v>
      </c>
      <c r="I631" s="4">
        <v>17.7</v>
      </c>
      <c r="J631" s="4">
        <v>5</v>
      </c>
      <c r="K631" s="5">
        <f t="shared" si="9"/>
        <v>0</v>
      </c>
    </row>
    <row r="632" spans="1:11" x14ac:dyDescent="0.2">
      <c r="A632" s="3">
        <v>44709</v>
      </c>
      <c r="B632" s="4" t="s">
        <v>10</v>
      </c>
      <c r="C632" s="4">
        <v>14.1</v>
      </c>
      <c r="D632" s="4">
        <v>6</v>
      </c>
      <c r="E632" s="4">
        <v>10.4</v>
      </c>
      <c r="F632" s="4">
        <v>9.5</v>
      </c>
      <c r="G632" s="4">
        <v>0</v>
      </c>
      <c r="H632" s="4" t="s">
        <v>13</v>
      </c>
      <c r="I632" s="4">
        <v>11.5</v>
      </c>
      <c r="J632" s="4">
        <v>8</v>
      </c>
      <c r="K632" s="5">
        <f t="shared" si="9"/>
        <v>0</v>
      </c>
    </row>
    <row r="633" spans="1:11" x14ac:dyDescent="0.2">
      <c r="A633" s="3">
        <v>45059</v>
      </c>
      <c r="B633" s="4" t="s">
        <v>10</v>
      </c>
      <c r="C633" s="4">
        <v>14.1</v>
      </c>
      <c r="D633" s="4">
        <v>7.1</v>
      </c>
      <c r="E633" s="4">
        <v>9.8000000000000007</v>
      </c>
      <c r="F633" s="4">
        <v>8.5</v>
      </c>
      <c r="G633" s="4">
        <v>0</v>
      </c>
      <c r="H633" s="4" t="s">
        <v>13</v>
      </c>
      <c r="I633" s="4">
        <v>10.7</v>
      </c>
      <c r="J633" s="4">
        <v>8</v>
      </c>
      <c r="K633" s="5">
        <f t="shared" si="9"/>
        <v>0</v>
      </c>
    </row>
    <row r="634" spans="1:11" x14ac:dyDescent="0.2">
      <c r="A634" s="3">
        <v>45032</v>
      </c>
      <c r="B634" s="4" t="s">
        <v>10</v>
      </c>
      <c r="C634" s="4">
        <v>14.2</v>
      </c>
      <c r="D634" s="4">
        <v>5.8</v>
      </c>
      <c r="E634" s="4">
        <v>9.6999999999999993</v>
      </c>
      <c r="F634" s="4">
        <v>8.8000000000000007</v>
      </c>
      <c r="G634" s="4">
        <v>0</v>
      </c>
      <c r="H634" s="4" t="s">
        <v>13</v>
      </c>
      <c r="I634" s="4">
        <v>9.4</v>
      </c>
      <c r="J634" s="4">
        <v>6</v>
      </c>
      <c r="K634" s="5">
        <f t="shared" si="9"/>
        <v>0</v>
      </c>
    </row>
    <row r="635" spans="1:11" x14ac:dyDescent="0.2">
      <c r="A635" s="3">
        <v>44671</v>
      </c>
      <c r="B635" s="4" t="s">
        <v>10</v>
      </c>
      <c r="C635" s="4">
        <v>14.3</v>
      </c>
      <c r="D635" s="4">
        <v>4.4000000000000004</v>
      </c>
      <c r="E635" s="4">
        <v>9</v>
      </c>
      <c r="F635" s="4">
        <v>7.8</v>
      </c>
      <c r="G635" s="4">
        <v>0</v>
      </c>
      <c r="H635" s="4" t="s">
        <v>13</v>
      </c>
      <c r="I635" s="4">
        <v>13.2</v>
      </c>
      <c r="J635" s="4">
        <v>7</v>
      </c>
      <c r="K635" s="5">
        <f t="shared" si="9"/>
        <v>0</v>
      </c>
    </row>
    <row r="636" spans="1:11" x14ac:dyDescent="0.2">
      <c r="A636" s="3">
        <v>44672</v>
      </c>
      <c r="B636" s="4" t="s">
        <v>10</v>
      </c>
      <c r="C636" s="4">
        <v>14.3</v>
      </c>
      <c r="D636" s="4">
        <v>3.6</v>
      </c>
      <c r="E636" s="4">
        <v>8.4</v>
      </c>
      <c r="F636" s="4">
        <v>6.9</v>
      </c>
      <c r="G636" s="4">
        <v>0</v>
      </c>
      <c r="H636" s="4" t="s">
        <v>13</v>
      </c>
      <c r="I636" s="4">
        <v>14.7</v>
      </c>
      <c r="J636" s="4">
        <v>7</v>
      </c>
      <c r="K636" s="5">
        <f t="shared" si="9"/>
        <v>0</v>
      </c>
    </row>
    <row r="637" spans="1:11" x14ac:dyDescent="0.2">
      <c r="A637" s="3">
        <v>45084</v>
      </c>
      <c r="B637" s="4" t="s">
        <v>10</v>
      </c>
      <c r="C637" s="4">
        <v>14.4</v>
      </c>
      <c r="D637" s="4">
        <v>9.5</v>
      </c>
      <c r="E637" s="4">
        <v>11.4</v>
      </c>
      <c r="F637" s="4">
        <v>10.9</v>
      </c>
      <c r="G637" s="4">
        <v>0</v>
      </c>
      <c r="H637" s="4" t="s">
        <v>13</v>
      </c>
      <c r="I637" s="4">
        <v>11.8</v>
      </c>
      <c r="J637" s="4">
        <v>5</v>
      </c>
      <c r="K637" s="5">
        <f t="shared" si="9"/>
        <v>0</v>
      </c>
    </row>
    <row r="638" spans="1:11" x14ac:dyDescent="0.2">
      <c r="A638" s="3">
        <v>45074</v>
      </c>
      <c r="B638" s="4" t="s">
        <v>10</v>
      </c>
      <c r="C638" s="4">
        <v>14.5</v>
      </c>
      <c r="D638" s="4">
        <v>8.1</v>
      </c>
      <c r="E638" s="4">
        <v>12.2</v>
      </c>
      <c r="F638" s="4">
        <v>12.1</v>
      </c>
      <c r="G638" s="4">
        <v>0</v>
      </c>
      <c r="H638" s="4" t="s">
        <v>13</v>
      </c>
      <c r="I638" s="4">
        <v>11.6</v>
      </c>
      <c r="J638" s="4">
        <v>7</v>
      </c>
      <c r="K638" s="5">
        <f t="shared" si="9"/>
        <v>0</v>
      </c>
    </row>
    <row r="639" spans="1:11" x14ac:dyDescent="0.2">
      <c r="A639" s="3">
        <v>44837</v>
      </c>
      <c r="B639" s="4" t="s">
        <v>10</v>
      </c>
      <c r="C639" s="4">
        <v>14.6</v>
      </c>
      <c r="D639" s="4">
        <v>7.4</v>
      </c>
      <c r="E639" s="4">
        <v>11.4</v>
      </c>
      <c r="F639" s="4">
        <v>11.1</v>
      </c>
      <c r="G639" s="4">
        <v>0</v>
      </c>
      <c r="H639" s="4" t="s">
        <v>13</v>
      </c>
      <c r="I639" s="4">
        <v>11.6</v>
      </c>
      <c r="J639" s="4">
        <v>4</v>
      </c>
      <c r="K639" s="5">
        <f t="shared" si="9"/>
        <v>0</v>
      </c>
    </row>
    <row r="640" spans="1:11" x14ac:dyDescent="0.2">
      <c r="A640" s="3">
        <v>44647</v>
      </c>
      <c r="B640" s="4" t="s">
        <v>10</v>
      </c>
      <c r="C640" s="4">
        <v>14.8</v>
      </c>
      <c r="D640" s="4">
        <v>3.4</v>
      </c>
      <c r="E640" s="4">
        <v>9.3000000000000007</v>
      </c>
      <c r="F640" s="4">
        <v>9</v>
      </c>
      <c r="G640" s="4">
        <v>0</v>
      </c>
      <c r="H640" s="4" t="s">
        <v>13</v>
      </c>
      <c r="I640" s="4">
        <v>7.3</v>
      </c>
      <c r="J640" s="4">
        <v>7</v>
      </c>
      <c r="K640" s="5">
        <f t="shared" si="9"/>
        <v>0</v>
      </c>
    </row>
    <row r="641" spans="1:11" x14ac:dyDescent="0.2">
      <c r="A641" s="3">
        <v>45085</v>
      </c>
      <c r="B641" s="4" t="s">
        <v>10</v>
      </c>
      <c r="C641" s="4">
        <v>14.8</v>
      </c>
      <c r="D641" s="4">
        <v>9.1</v>
      </c>
      <c r="E641" s="4">
        <v>11.4</v>
      </c>
      <c r="F641" s="4">
        <v>10.9</v>
      </c>
      <c r="G641" s="4">
        <v>0</v>
      </c>
      <c r="H641" s="4" t="s">
        <v>13</v>
      </c>
      <c r="I641" s="4">
        <v>13.3</v>
      </c>
      <c r="J641" s="4">
        <v>9</v>
      </c>
      <c r="K641" s="5">
        <f t="shared" si="9"/>
        <v>0</v>
      </c>
    </row>
    <row r="642" spans="1:11" x14ac:dyDescent="0.2">
      <c r="A642" s="3">
        <v>45081</v>
      </c>
      <c r="B642" s="4" t="s">
        <v>10</v>
      </c>
      <c r="C642" s="4">
        <v>14.9</v>
      </c>
      <c r="D642" s="4">
        <v>6</v>
      </c>
      <c r="E642" s="4">
        <v>10.8</v>
      </c>
      <c r="F642" s="4">
        <v>10.4</v>
      </c>
      <c r="G642" s="4">
        <v>0</v>
      </c>
      <c r="H642" s="4" t="s">
        <v>13</v>
      </c>
      <c r="I642" s="4">
        <v>8.6999999999999993</v>
      </c>
      <c r="J642" s="4">
        <v>6</v>
      </c>
      <c r="K642" s="5">
        <f t="shared" ref="K642:K705" si="10">SUM(G642*25.4)</f>
        <v>0</v>
      </c>
    </row>
    <row r="643" spans="1:11" x14ac:dyDescent="0.2">
      <c r="A643" s="3">
        <v>44673</v>
      </c>
      <c r="B643" s="4" t="s">
        <v>10</v>
      </c>
      <c r="C643" s="4">
        <v>15</v>
      </c>
      <c r="D643" s="4">
        <v>6.4</v>
      </c>
      <c r="E643" s="4">
        <v>9.6999999999999993</v>
      </c>
      <c r="F643" s="4">
        <v>7.7</v>
      </c>
      <c r="G643" s="4">
        <v>0</v>
      </c>
      <c r="H643" s="4" t="s">
        <v>13</v>
      </c>
      <c r="I643" s="4">
        <v>18.100000000000001</v>
      </c>
      <c r="J643" s="4">
        <v>7</v>
      </c>
      <c r="K643" s="5">
        <f t="shared" si="10"/>
        <v>0</v>
      </c>
    </row>
    <row r="644" spans="1:11" x14ac:dyDescent="0.2">
      <c r="A644" s="3">
        <v>44819</v>
      </c>
      <c r="B644" s="4" t="s">
        <v>10</v>
      </c>
      <c r="C644" s="4">
        <v>15.1</v>
      </c>
      <c r="D644" s="4">
        <v>10.1</v>
      </c>
      <c r="E644" s="4">
        <v>12.4</v>
      </c>
      <c r="F644" s="4">
        <v>12.4</v>
      </c>
      <c r="G644" s="4">
        <v>0</v>
      </c>
      <c r="H644" s="4" t="s">
        <v>13</v>
      </c>
      <c r="I644" s="4">
        <v>12.7</v>
      </c>
      <c r="J644" s="4">
        <v>4</v>
      </c>
      <c r="K644" s="5">
        <f t="shared" si="10"/>
        <v>0</v>
      </c>
    </row>
    <row r="645" spans="1:11" x14ac:dyDescent="0.2">
      <c r="A645" s="3">
        <v>45076</v>
      </c>
      <c r="B645" s="4" t="s">
        <v>10</v>
      </c>
      <c r="C645" s="4">
        <v>15.1</v>
      </c>
      <c r="D645" s="4">
        <v>5.6</v>
      </c>
      <c r="E645" s="4">
        <v>10.7</v>
      </c>
      <c r="F645" s="4">
        <v>10.3</v>
      </c>
      <c r="G645" s="4">
        <v>0</v>
      </c>
      <c r="H645" s="4" t="s">
        <v>13</v>
      </c>
      <c r="I645" s="4">
        <v>12</v>
      </c>
      <c r="J645" s="4">
        <v>7</v>
      </c>
      <c r="K645" s="5">
        <f t="shared" si="10"/>
        <v>0</v>
      </c>
    </row>
    <row r="646" spans="1:11" x14ac:dyDescent="0.2">
      <c r="A646" s="3">
        <v>44642</v>
      </c>
      <c r="B646" s="4" t="s">
        <v>10</v>
      </c>
      <c r="C646" s="4">
        <v>15.6</v>
      </c>
      <c r="D646" s="4">
        <v>4.3</v>
      </c>
      <c r="E646" s="4">
        <v>9</v>
      </c>
      <c r="F646" s="4">
        <v>8.1999999999999993</v>
      </c>
      <c r="G646" s="4">
        <v>0</v>
      </c>
      <c r="H646" s="4" t="s">
        <v>13</v>
      </c>
      <c r="I646" s="4">
        <v>11.6</v>
      </c>
      <c r="J646" s="4">
        <v>6</v>
      </c>
      <c r="K646" s="5">
        <f t="shared" si="10"/>
        <v>0</v>
      </c>
    </row>
    <row r="647" spans="1:11" x14ac:dyDescent="0.2">
      <c r="A647" s="3">
        <v>44708</v>
      </c>
      <c r="B647" s="4" t="s">
        <v>10</v>
      </c>
      <c r="C647" s="4">
        <v>15.7</v>
      </c>
      <c r="D647" s="4">
        <v>7.2</v>
      </c>
      <c r="E647" s="4">
        <v>11.8</v>
      </c>
      <c r="F647" s="4">
        <v>10.9</v>
      </c>
      <c r="G647" s="4">
        <v>0</v>
      </c>
      <c r="H647" s="4" t="s">
        <v>13</v>
      </c>
      <c r="I647" s="4">
        <v>20</v>
      </c>
      <c r="J647" s="4">
        <v>7</v>
      </c>
      <c r="K647" s="5">
        <f t="shared" si="10"/>
        <v>0</v>
      </c>
    </row>
    <row r="648" spans="1:11" x14ac:dyDescent="0.2">
      <c r="A648" s="3">
        <v>44876</v>
      </c>
      <c r="B648" s="4" t="s">
        <v>10</v>
      </c>
      <c r="C648" s="4">
        <v>15.7</v>
      </c>
      <c r="D648" s="4">
        <v>13.2</v>
      </c>
      <c r="E648" s="4">
        <v>14.4</v>
      </c>
      <c r="F648" s="4">
        <v>14.4</v>
      </c>
      <c r="G648" s="4">
        <v>0</v>
      </c>
      <c r="H648" s="4" t="s">
        <v>13</v>
      </c>
      <c r="I648" s="4">
        <v>23.2</v>
      </c>
      <c r="J648" s="4">
        <v>2</v>
      </c>
      <c r="K648" s="5">
        <f t="shared" si="10"/>
        <v>0</v>
      </c>
    </row>
    <row r="649" spans="1:11" x14ac:dyDescent="0.2">
      <c r="A649" s="3">
        <v>45079</v>
      </c>
      <c r="B649" s="4" t="s">
        <v>10</v>
      </c>
      <c r="C649" s="4">
        <v>15.8</v>
      </c>
      <c r="D649" s="4">
        <v>7.4</v>
      </c>
      <c r="E649" s="4">
        <v>11.7</v>
      </c>
      <c r="F649" s="4">
        <v>10.9</v>
      </c>
      <c r="G649" s="4">
        <v>0</v>
      </c>
      <c r="H649" s="4" t="s">
        <v>13</v>
      </c>
      <c r="I649" s="4">
        <v>12</v>
      </c>
      <c r="J649" s="4">
        <v>9</v>
      </c>
      <c r="K649" s="5">
        <f t="shared" si="10"/>
        <v>0</v>
      </c>
    </row>
    <row r="650" spans="1:11" x14ac:dyDescent="0.2">
      <c r="A650" s="3">
        <v>44724</v>
      </c>
      <c r="B650" s="4" t="s">
        <v>10</v>
      </c>
      <c r="C650" s="4">
        <v>16.2</v>
      </c>
      <c r="D650" s="4">
        <v>10.8</v>
      </c>
      <c r="E650" s="4">
        <v>13.6</v>
      </c>
      <c r="F650" s="4">
        <v>13.6</v>
      </c>
      <c r="G650" s="4">
        <v>0</v>
      </c>
      <c r="H650" s="4" t="s">
        <v>13</v>
      </c>
      <c r="I650" s="4">
        <v>19.100000000000001</v>
      </c>
      <c r="J650" s="4">
        <v>9</v>
      </c>
      <c r="K650" s="5">
        <f t="shared" si="10"/>
        <v>0</v>
      </c>
    </row>
    <row r="651" spans="1:11" x14ac:dyDescent="0.2">
      <c r="A651" s="3">
        <v>44646</v>
      </c>
      <c r="B651" s="4" t="s">
        <v>10</v>
      </c>
      <c r="C651" s="4">
        <v>16.3</v>
      </c>
      <c r="D651" s="4">
        <v>4.5</v>
      </c>
      <c r="E651" s="4">
        <v>9.4</v>
      </c>
      <c r="F651" s="4">
        <v>8.8000000000000007</v>
      </c>
      <c r="G651" s="4">
        <v>0</v>
      </c>
      <c r="H651" s="4" t="s">
        <v>13</v>
      </c>
      <c r="I651" s="4">
        <v>7.6</v>
      </c>
      <c r="J651" s="4">
        <v>7</v>
      </c>
      <c r="K651" s="5">
        <f t="shared" si="10"/>
        <v>0</v>
      </c>
    </row>
    <row r="652" spans="1:11" x14ac:dyDescent="0.2">
      <c r="A652" s="3">
        <v>44725</v>
      </c>
      <c r="B652" s="4" t="s">
        <v>10</v>
      </c>
      <c r="C652" s="4">
        <v>16.3</v>
      </c>
      <c r="D652" s="4">
        <v>7.9</v>
      </c>
      <c r="E652" s="4">
        <v>12.7</v>
      </c>
      <c r="F652" s="4">
        <v>12.2</v>
      </c>
      <c r="G652" s="4">
        <v>0</v>
      </c>
      <c r="H652" s="4" t="s">
        <v>13</v>
      </c>
      <c r="I652" s="4">
        <v>12.1</v>
      </c>
      <c r="J652" s="4">
        <v>6</v>
      </c>
      <c r="K652" s="5">
        <f t="shared" si="10"/>
        <v>0</v>
      </c>
    </row>
    <row r="653" spans="1:11" x14ac:dyDescent="0.2">
      <c r="A653" s="3">
        <v>45075</v>
      </c>
      <c r="B653" s="4" t="s">
        <v>10</v>
      </c>
      <c r="C653" s="4">
        <v>16.3</v>
      </c>
      <c r="D653" s="4">
        <v>5.7</v>
      </c>
      <c r="E653" s="4">
        <v>10.9</v>
      </c>
      <c r="F653" s="4">
        <v>10.3</v>
      </c>
      <c r="G653" s="4">
        <v>0</v>
      </c>
      <c r="H653" s="4" t="s">
        <v>13</v>
      </c>
      <c r="I653" s="4">
        <v>10.5</v>
      </c>
      <c r="J653" s="4">
        <v>9</v>
      </c>
      <c r="K653" s="5">
        <f t="shared" si="10"/>
        <v>0</v>
      </c>
    </row>
    <row r="654" spans="1:11" x14ac:dyDescent="0.2">
      <c r="A654" s="3">
        <v>45168</v>
      </c>
      <c r="B654" s="4" t="s">
        <v>10</v>
      </c>
      <c r="C654" s="4">
        <v>16.5</v>
      </c>
      <c r="D654" s="4">
        <v>9.1</v>
      </c>
      <c r="E654" s="4">
        <v>12.7</v>
      </c>
      <c r="F654" s="4">
        <v>12.4</v>
      </c>
      <c r="G654" s="4">
        <v>0</v>
      </c>
      <c r="H654" s="4" t="s">
        <v>13</v>
      </c>
      <c r="I654" s="4">
        <v>13.4</v>
      </c>
      <c r="J654" s="4">
        <v>9</v>
      </c>
      <c r="K654" s="5">
        <f t="shared" si="10"/>
        <v>0</v>
      </c>
    </row>
    <row r="655" spans="1:11" x14ac:dyDescent="0.2">
      <c r="A655" s="3">
        <v>44665</v>
      </c>
      <c r="B655" s="4" t="s">
        <v>10</v>
      </c>
      <c r="C655" s="4">
        <v>16.600000000000001</v>
      </c>
      <c r="D655" s="4">
        <v>6.3</v>
      </c>
      <c r="E655" s="4">
        <v>11.2</v>
      </c>
      <c r="F655" s="4">
        <v>10.8</v>
      </c>
      <c r="G655" s="4">
        <v>0</v>
      </c>
      <c r="H655" s="4" t="s">
        <v>13</v>
      </c>
      <c r="I655" s="4">
        <v>8.1999999999999993</v>
      </c>
      <c r="J655" s="4">
        <v>7</v>
      </c>
      <c r="K655" s="5">
        <f t="shared" si="10"/>
        <v>0</v>
      </c>
    </row>
    <row r="656" spans="1:11" x14ac:dyDescent="0.2">
      <c r="A656" s="3">
        <v>44818</v>
      </c>
      <c r="B656" s="4" t="s">
        <v>10</v>
      </c>
      <c r="C656" s="4">
        <v>16.7</v>
      </c>
      <c r="D656" s="4">
        <v>7.8</v>
      </c>
      <c r="E656" s="4">
        <v>12.2</v>
      </c>
      <c r="F656" s="4">
        <v>12.1</v>
      </c>
      <c r="G656" s="4">
        <v>0</v>
      </c>
      <c r="H656" s="4" t="s">
        <v>13</v>
      </c>
      <c r="I656" s="4">
        <v>9.1</v>
      </c>
      <c r="J656" s="4">
        <v>5</v>
      </c>
      <c r="K656" s="5">
        <f t="shared" si="10"/>
        <v>0</v>
      </c>
    </row>
    <row r="657" spans="1:11" x14ac:dyDescent="0.2">
      <c r="A657" s="3">
        <v>44719</v>
      </c>
      <c r="B657" s="4" t="s">
        <v>10</v>
      </c>
      <c r="C657" s="4">
        <v>16.8</v>
      </c>
      <c r="D657" s="4">
        <v>8.6999999999999993</v>
      </c>
      <c r="E657" s="4">
        <v>12.6</v>
      </c>
      <c r="F657" s="4">
        <v>12</v>
      </c>
      <c r="G657" s="4">
        <v>0</v>
      </c>
      <c r="H657" s="4" t="s">
        <v>13</v>
      </c>
      <c r="I657" s="4">
        <v>9.1</v>
      </c>
      <c r="J657" s="4">
        <v>10</v>
      </c>
      <c r="K657" s="5">
        <f t="shared" si="10"/>
        <v>0</v>
      </c>
    </row>
    <row r="658" spans="1:11" x14ac:dyDescent="0.2">
      <c r="A658" s="3">
        <v>44731</v>
      </c>
      <c r="B658" s="4" t="s">
        <v>10</v>
      </c>
      <c r="C658" s="4">
        <v>16.8</v>
      </c>
      <c r="D658" s="4">
        <v>7</v>
      </c>
      <c r="E658" s="4">
        <v>12.7</v>
      </c>
      <c r="F658" s="4">
        <v>12.2</v>
      </c>
      <c r="G658" s="4">
        <v>0</v>
      </c>
      <c r="H658" s="4" t="s">
        <v>13</v>
      </c>
      <c r="I658" s="4">
        <v>13.4</v>
      </c>
      <c r="J658" s="4">
        <v>8</v>
      </c>
      <c r="K658" s="5">
        <f t="shared" si="10"/>
        <v>0</v>
      </c>
    </row>
    <row r="659" spans="1:11" x14ac:dyDescent="0.2">
      <c r="A659" s="3">
        <v>45082</v>
      </c>
      <c r="B659" s="4" t="s">
        <v>10</v>
      </c>
      <c r="C659" s="4">
        <v>16.8</v>
      </c>
      <c r="D659" s="4">
        <v>8.3000000000000007</v>
      </c>
      <c r="E659" s="4">
        <v>12.3</v>
      </c>
      <c r="F659" s="4">
        <v>11.9</v>
      </c>
      <c r="G659" s="4">
        <v>0</v>
      </c>
      <c r="H659" s="4" t="s">
        <v>13</v>
      </c>
      <c r="I659" s="4">
        <v>10.9</v>
      </c>
      <c r="J659" s="4">
        <v>9</v>
      </c>
      <c r="K659" s="5">
        <f t="shared" si="10"/>
        <v>0</v>
      </c>
    </row>
    <row r="660" spans="1:11" x14ac:dyDescent="0.2">
      <c r="A660" s="3">
        <v>45086</v>
      </c>
      <c r="B660" s="4" t="s">
        <v>10</v>
      </c>
      <c r="C660" s="4">
        <v>16.8</v>
      </c>
      <c r="D660" s="4">
        <v>9.6</v>
      </c>
      <c r="E660" s="4">
        <v>12.4</v>
      </c>
      <c r="F660" s="4">
        <v>11.8</v>
      </c>
      <c r="G660" s="4">
        <v>0</v>
      </c>
      <c r="H660" s="4" t="s">
        <v>13</v>
      </c>
      <c r="I660" s="4">
        <v>12.6</v>
      </c>
      <c r="J660" s="4">
        <v>9</v>
      </c>
      <c r="K660" s="5">
        <f t="shared" si="10"/>
        <v>0</v>
      </c>
    </row>
    <row r="661" spans="1:11" x14ac:dyDescent="0.2">
      <c r="A661" s="3">
        <v>44824</v>
      </c>
      <c r="B661" s="4" t="s">
        <v>10</v>
      </c>
      <c r="C661" s="4">
        <v>16.899999999999999</v>
      </c>
      <c r="D661" s="4">
        <v>10.5</v>
      </c>
      <c r="E661" s="4">
        <v>13.5</v>
      </c>
      <c r="F661" s="4">
        <v>13.5</v>
      </c>
      <c r="G661" s="4">
        <v>0</v>
      </c>
      <c r="H661" s="4" t="s">
        <v>13</v>
      </c>
      <c r="I661" s="4">
        <v>5.7</v>
      </c>
      <c r="J661" s="4">
        <v>3</v>
      </c>
      <c r="K661" s="5">
        <f t="shared" si="10"/>
        <v>0</v>
      </c>
    </row>
    <row r="662" spans="1:11" x14ac:dyDescent="0.2">
      <c r="A662" s="3">
        <v>45064</v>
      </c>
      <c r="B662" s="4" t="s">
        <v>10</v>
      </c>
      <c r="C662" s="4">
        <v>17</v>
      </c>
      <c r="D662" s="4">
        <v>9.6</v>
      </c>
      <c r="E662" s="4">
        <v>13.2</v>
      </c>
      <c r="F662" s="4">
        <v>13.2</v>
      </c>
      <c r="G662" s="4">
        <v>0</v>
      </c>
      <c r="H662" s="4" t="s">
        <v>13</v>
      </c>
      <c r="I662" s="4">
        <v>8.6999999999999993</v>
      </c>
      <c r="J662" s="4">
        <v>5</v>
      </c>
      <c r="K662" s="5">
        <f t="shared" si="10"/>
        <v>0</v>
      </c>
    </row>
    <row r="663" spans="1:11" x14ac:dyDescent="0.2">
      <c r="A663" s="3">
        <v>44668</v>
      </c>
      <c r="B663" s="4" t="s">
        <v>10</v>
      </c>
      <c r="C663" s="4">
        <v>17.100000000000001</v>
      </c>
      <c r="D663" s="4">
        <v>7.6</v>
      </c>
      <c r="E663" s="4">
        <v>12.3</v>
      </c>
      <c r="F663" s="4">
        <v>11.8</v>
      </c>
      <c r="G663" s="4">
        <v>0</v>
      </c>
      <c r="H663" s="4" t="s">
        <v>13</v>
      </c>
      <c r="I663" s="4">
        <v>17.600000000000001</v>
      </c>
      <c r="J663" s="4">
        <v>6</v>
      </c>
      <c r="K663" s="5">
        <f t="shared" si="10"/>
        <v>0</v>
      </c>
    </row>
    <row r="664" spans="1:11" x14ac:dyDescent="0.2">
      <c r="A664" s="3">
        <v>45071</v>
      </c>
      <c r="B664" s="4" t="s">
        <v>10</v>
      </c>
      <c r="C664" s="4">
        <v>17.2</v>
      </c>
      <c r="D664" s="4">
        <v>8.8000000000000007</v>
      </c>
      <c r="E664" s="4">
        <v>13.6</v>
      </c>
      <c r="F664" s="4">
        <v>13.6</v>
      </c>
      <c r="G664" s="4">
        <v>0</v>
      </c>
      <c r="H664" s="4" t="s">
        <v>13</v>
      </c>
      <c r="I664" s="4">
        <v>9.6999999999999993</v>
      </c>
      <c r="J664" s="4">
        <v>10</v>
      </c>
      <c r="K664" s="5">
        <f t="shared" si="10"/>
        <v>0</v>
      </c>
    </row>
    <row r="665" spans="1:11" x14ac:dyDescent="0.2">
      <c r="A665" s="3">
        <v>44825</v>
      </c>
      <c r="B665" s="4" t="s">
        <v>10</v>
      </c>
      <c r="C665" s="4">
        <v>17.3</v>
      </c>
      <c r="D665" s="4">
        <v>8.6</v>
      </c>
      <c r="E665" s="4">
        <v>13.4</v>
      </c>
      <c r="F665" s="4">
        <v>13.3</v>
      </c>
      <c r="G665" s="4">
        <v>0</v>
      </c>
      <c r="H665" s="4" t="s">
        <v>13</v>
      </c>
      <c r="I665" s="4">
        <v>11.4</v>
      </c>
      <c r="J665" s="4">
        <v>5</v>
      </c>
      <c r="K665" s="5">
        <f t="shared" si="10"/>
        <v>0</v>
      </c>
    </row>
    <row r="666" spans="1:11" x14ac:dyDescent="0.2">
      <c r="A666" s="3">
        <v>44666</v>
      </c>
      <c r="B666" s="4" t="s">
        <v>10</v>
      </c>
      <c r="C666" s="4">
        <v>17.399999999999999</v>
      </c>
      <c r="D666" s="4">
        <v>7.6</v>
      </c>
      <c r="E666" s="4">
        <v>12.1</v>
      </c>
      <c r="F666" s="4">
        <v>12</v>
      </c>
      <c r="G666" s="4">
        <v>0</v>
      </c>
      <c r="H666" s="4" t="s">
        <v>13</v>
      </c>
      <c r="I666" s="4">
        <v>11.4</v>
      </c>
      <c r="J666" s="4">
        <v>6</v>
      </c>
      <c r="K666" s="5">
        <f t="shared" si="10"/>
        <v>0</v>
      </c>
    </row>
    <row r="667" spans="1:11" x14ac:dyDescent="0.2">
      <c r="A667" s="3">
        <v>44644</v>
      </c>
      <c r="B667" s="4" t="s">
        <v>10</v>
      </c>
      <c r="C667" s="4">
        <v>17.600000000000001</v>
      </c>
      <c r="D667" s="4">
        <v>2.8</v>
      </c>
      <c r="E667" s="4">
        <v>9.9</v>
      </c>
      <c r="F667" s="4">
        <v>9.8000000000000007</v>
      </c>
      <c r="G667" s="4">
        <v>0</v>
      </c>
      <c r="H667" s="4" t="s">
        <v>13</v>
      </c>
      <c r="I667" s="4">
        <v>6</v>
      </c>
      <c r="J667" s="4">
        <v>6</v>
      </c>
      <c r="K667" s="5">
        <f t="shared" si="10"/>
        <v>0</v>
      </c>
    </row>
    <row r="668" spans="1:11" x14ac:dyDescent="0.2">
      <c r="A668" s="3">
        <v>45080</v>
      </c>
      <c r="B668" s="4" t="s">
        <v>10</v>
      </c>
      <c r="C668" s="4">
        <v>17.7</v>
      </c>
      <c r="D668" s="4">
        <v>5.2</v>
      </c>
      <c r="E668" s="4">
        <v>11.4</v>
      </c>
      <c r="F668" s="4">
        <v>10.9</v>
      </c>
      <c r="G668" s="4">
        <v>0</v>
      </c>
      <c r="H668" s="4" t="s">
        <v>13</v>
      </c>
      <c r="I668" s="4">
        <v>11.7</v>
      </c>
      <c r="J668" s="4">
        <v>9</v>
      </c>
      <c r="K668" s="5">
        <f t="shared" si="10"/>
        <v>0</v>
      </c>
    </row>
    <row r="669" spans="1:11" x14ac:dyDescent="0.2">
      <c r="A669" s="3">
        <v>44645</v>
      </c>
      <c r="B669" s="4" t="s">
        <v>10</v>
      </c>
      <c r="C669" s="4">
        <v>17.8</v>
      </c>
      <c r="D669" s="4">
        <v>3.2</v>
      </c>
      <c r="E669" s="4">
        <v>10.1</v>
      </c>
      <c r="F669" s="4">
        <v>10</v>
      </c>
      <c r="G669" s="4">
        <v>0</v>
      </c>
      <c r="H669" s="4" t="s">
        <v>13</v>
      </c>
      <c r="I669" s="4">
        <v>6.1</v>
      </c>
      <c r="J669" s="4">
        <v>7</v>
      </c>
      <c r="K669" s="5">
        <f t="shared" si="10"/>
        <v>0</v>
      </c>
    </row>
    <row r="670" spans="1:11" x14ac:dyDescent="0.2">
      <c r="A670" s="3">
        <v>44690</v>
      </c>
      <c r="B670" s="4" t="s">
        <v>10</v>
      </c>
      <c r="C670" s="4">
        <v>17.8</v>
      </c>
      <c r="D670" s="4">
        <v>7.1</v>
      </c>
      <c r="E670" s="4">
        <v>12.8</v>
      </c>
      <c r="F670" s="4">
        <v>12</v>
      </c>
      <c r="G670" s="4">
        <v>0</v>
      </c>
      <c r="H670" s="4" t="s">
        <v>13</v>
      </c>
      <c r="I670" s="4">
        <v>19.3</v>
      </c>
      <c r="J670" s="4">
        <v>5</v>
      </c>
      <c r="K670" s="5">
        <f t="shared" si="10"/>
        <v>0</v>
      </c>
    </row>
    <row r="671" spans="1:11" x14ac:dyDescent="0.2">
      <c r="A671" s="3">
        <v>45068</v>
      </c>
      <c r="B671" s="4" t="s">
        <v>10</v>
      </c>
      <c r="C671" s="4">
        <v>17.899999999999999</v>
      </c>
      <c r="D671" s="4">
        <v>6.7</v>
      </c>
      <c r="E671" s="4">
        <v>12.3</v>
      </c>
      <c r="F671" s="4">
        <v>11.6</v>
      </c>
      <c r="G671" s="4">
        <v>0</v>
      </c>
      <c r="H671" s="4" t="s">
        <v>13</v>
      </c>
      <c r="I671" s="4">
        <v>11.9</v>
      </c>
      <c r="J671" s="4">
        <v>8</v>
      </c>
      <c r="K671" s="5">
        <f t="shared" si="10"/>
        <v>0</v>
      </c>
    </row>
    <row r="672" spans="1:11" x14ac:dyDescent="0.2">
      <c r="A672" s="3">
        <v>44817</v>
      </c>
      <c r="B672" s="4" t="s">
        <v>10</v>
      </c>
      <c r="C672" s="4">
        <v>18.100000000000001</v>
      </c>
      <c r="D672" s="4">
        <v>8.1</v>
      </c>
      <c r="E672" s="4">
        <v>13</v>
      </c>
      <c r="F672" s="4">
        <v>12.7</v>
      </c>
      <c r="G672" s="4">
        <v>0</v>
      </c>
      <c r="H672" s="4" t="s">
        <v>13</v>
      </c>
      <c r="I672" s="4">
        <v>7.2</v>
      </c>
      <c r="J672" s="4">
        <v>6</v>
      </c>
      <c r="K672" s="5">
        <f t="shared" si="10"/>
        <v>0</v>
      </c>
    </row>
    <row r="673" spans="1:11" x14ac:dyDescent="0.2">
      <c r="A673" s="3">
        <v>44667</v>
      </c>
      <c r="B673" s="4" t="s">
        <v>10</v>
      </c>
      <c r="C673" s="4">
        <v>18.2</v>
      </c>
      <c r="D673" s="4">
        <v>7.7</v>
      </c>
      <c r="E673" s="4">
        <v>12</v>
      </c>
      <c r="F673" s="4">
        <v>11.1</v>
      </c>
      <c r="G673" s="4">
        <v>0</v>
      </c>
      <c r="H673" s="4" t="s">
        <v>13</v>
      </c>
      <c r="I673" s="4">
        <v>13.4</v>
      </c>
      <c r="J673" s="4">
        <v>7</v>
      </c>
      <c r="K673" s="5">
        <f t="shared" si="10"/>
        <v>0</v>
      </c>
    </row>
    <row r="674" spans="1:11" x14ac:dyDescent="0.2">
      <c r="A674" s="3">
        <v>44726</v>
      </c>
      <c r="B674" s="4" t="s">
        <v>10</v>
      </c>
      <c r="C674" s="4">
        <v>18.2</v>
      </c>
      <c r="D674" s="4">
        <v>8.6999999999999993</v>
      </c>
      <c r="E674" s="4">
        <v>13.7</v>
      </c>
      <c r="F674" s="4">
        <v>13.5</v>
      </c>
      <c r="G674" s="4">
        <v>0</v>
      </c>
      <c r="H674" s="4" t="s">
        <v>13</v>
      </c>
      <c r="I674" s="4">
        <v>8.6</v>
      </c>
      <c r="J674" s="4">
        <v>7</v>
      </c>
      <c r="K674" s="5">
        <f t="shared" si="10"/>
        <v>0</v>
      </c>
    </row>
    <row r="675" spans="1:11" x14ac:dyDescent="0.2">
      <c r="A675" s="3">
        <v>44747</v>
      </c>
      <c r="B675" s="4" t="s">
        <v>10</v>
      </c>
      <c r="C675" s="4">
        <v>18.2</v>
      </c>
      <c r="D675" s="4">
        <v>9.1</v>
      </c>
      <c r="E675" s="4">
        <v>14.3</v>
      </c>
      <c r="F675" s="4">
        <v>14.2</v>
      </c>
      <c r="G675" s="4">
        <v>0</v>
      </c>
      <c r="H675" s="4" t="s">
        <v>13</v>
      </c>
      <c r="I675" s="4">
        <v>13</v>
      </c>
      <c r="J675" s="4">
        <v>9</v>
      </c>
      <c r="K675" s="5">
        <f t="shared" si="10"/>
        <v>0</v>
      </c>
    </row>
    <row r="676" spans="1:11" x14ac:dyDescent="0.2">
      <c r="A676" s="3">
        <v>45067</v>
      </c>
      <c r="B676" s="4" t="s">
        <v>10</v>
      </c>
      <c r="C676" s="4">
        <v>18.3</v>
      </c>
      <c r="D676" s="4">
        <v>6.6</v>
      </c>
      <c r="E676" s="4">
        <v>12.7</v>
      </c>
      <c r="F676" s="4">
        <v>12.6</v>
      </c>
      <c r="G676" s="4">
        <v>0</v>
      </c>
      <c r="H676" s="4" t="s">
        <v>13</v>
      </c>
      <c r="I676" s="4">
        <v>10.1</v>
      </c>
      <c r="J676" s="4">
        <v>9</v>
      </c>
      <c r="K676" s="5">
        <f t="shared" si="10"/>
        <v>0</v>
      </c>
    </row>
    <row r="677" spans="1:11" x14ac:dyDescent="0.2">
      <c r="A677" s="3">
        <v>45069</v>
      </c>
      <c r="B677" s="4" t="s">
        <v>10</v>
      </c>
      <c r="C677" s="4">
        <v>18.3</v>
      </c>
      <c r="D677" s="4">
        <v>7.4</v>
      </c>
      <c r="E677" s="4">
        <v>12.7</v>
      </c>
      <c r="F677" s="4">
        <v>12.6</v>
      </c>
      <c r="G677" s="4">
        <v>0</v>
      </c>
      <c r="H677" s="4" t="s">
        <v>13</v>
      </c>
      <c r="I677" s="4">
        <v>10.199999999999999</v>
      </c>
      <c r="J677" s="4">
        <v>7</v>
      </c>
      <c r="K677" s="5">
        <f t="shared" si="10"/>
        <v>0</v>
      </c>
    </row>
    <row r="678" spans="1:11" x14ac:dyDescent="0.2">
      <c r="A678" s="3">
        <v>44721</v>
      </c>
      <c r="B678" s="4" t="s">
        <v>10</v>
      </c>
      <c r="C678" s="4">
        <v>18.7</v>
      </c>
      <c r="D678" s="4">
        <v>10.6</v>
      </c>
      <c r="E678" s="4">
        <v>14.8</v>
      </c>
      <c r="F678" s="4">
        <v>14.8</v>
      </c>
      <c r="G678" s="4">
        <v>0</v>
      </c>
      <c r="H678" s="4" t="s">
        <v>13</v>
      </c>
      <c r="I678" s="4">
        <v>13.8</v>
      </c>
      <c r="J678" s="4">
        <v>6</v>
      </c>
      <c r="K678" s="5">
        <f t="shared" si="10"/>
        <v>0</v>
      </c>
    </row>
    <row r="679" spans="1:11" x14ac:dyDescent="0.2">
      <c r="A679" s="3">
        <v>45070</v>
      </c>
      <c r="B679" s="4" t="s">
        <v>10</v>
      </c>
      <c r="C679" s="4">
        <v>18.7</v>
      </c>
      <c r="D679" s="4">
        <v>7</v>
      </c>
      <c r="E679" s="4">
        <v>13.5</v>
      </c>
      <c r="F679" s="4">
        <v>13.2</v>
      </c>
      <c r="G679" s="4">
        <v>0</v>
      </c>
      <c r="H679" s="4" t="s">
        <v>13</v>
      </c>
      <c r="I679" s="4">
        <v>9.4</v>
      </c>
      <c r="J679" s="4">
        <v>9</v>
      </c>
      <c r="K679" s="5">
        <f t="shared" si="10"/>
        <v>0</v>
      </c>
    </row>
    <row r="680" spans="1:11" x14ac:dyDescent="0.2">
      <c r="A680" s="3">
        <v>45155</v>
      </c>
      <c r="B680" s="4" t="s">
        <v>10</v>
      </c>
      <c r="C680" s="4">
        <v>18.7</v>
      </c>
      <c r="D680" s="4">
        <v>13.6</v>
      </c>
      <c r="E680" s="4">
        <v>15.9</v>
      </c>
      <c r="F680" s="4">
        <v>15.9</v>
      </c>
      <c r="G680" s="4">
        <v>0</v>
      </c>
      <c r="H680" s="4" t="s">
        <v>13</v>
      </c>
      <c r="I680" s="4">
        <v>13.9</v>
      </c>
      <c r="J680" s="4">
        <v>5</v>
      </c>
      <c r="K680" s="5">
        <f t="shared" si="10"/>
        <v>0</v>
      </c>
    </row>
    <row r="681" spans="1:11" x14ac:dyDescent="0.2">
      <c r="A681" s="3">
        <v>44777</v>
      </c>
      <c r="B681" s="4" t="s">
        <v>10</v>
      </c>
      <c r="C681" s="4">
        <v>19.100000000000001</v>
      </c>
      <c r="D681" s="4">
        <v>12.5</v>
      </c>
      <c r="E681" s="4">
        <v>16</v>
      </c>
      <c r="F681" s="4">
        <v>16</v>
      </c>
      <c r="G681" s="4">
        <v>0</v>
      </c>
      <c r="H681" s="4" t="s">
        <v>13</v>
      </c>
      <c r="I681" s="4">
        <v>16.600000000000001</v>
      </c>
      <c r="J681" s="4">
        <v>9</v>
      </c>
      <c r="K681" s="5">
        <f t="shared" si="10"/>
        <v>0</v>
      </c>
    </row>
    <row r="682" spans="1:11" x14ac:dyDescent="0.2">
      <c r="A682" s="3">
        <v>44779</v>
      </c>
      <c r="B682" s="4" t="s">
        <v>10</v>
      </c>
      <c r="C682" s="4">
        <v>19.2</v>
      </c>
      <c r="D682" s="4">
        <v>8.1</v>
      </c>
      <c r="E682" s="4">
        <v>14.1</v>
      </c>
      <c r="F682" s="4">
        <v>13.7</v>
      </c>
      <c r="G682" s="4">
        <v>0</v>
      </c>
      <c r="H682" s="4" t="s">
        <v>13</v>
      </c>
      <c r="I682" s="4">
        <v>11.7</v>
      </c>
      <c r="J682" s="4">
        <v>7</v>
      </c>
      <c r="K682" s="5">
        <f t="shared" si="10"/>
        <v>0</v>
      </c>
    </row>
    <row r="683" spans="1:11" x14ac:dyDescent="0.2">
      <c r="A683" s="3">
        <v>45072</v>
      </c>
      <c r="B683" s="4" t="s">
        <v>10</v>
      </c>
      <c r="C683" s="4">
        <v>20</v>
      </c>
      <c r="D683" s="4">
        <v>9.1</v>
      </c>
      <c r="E683" s="4">
        <v>14.6</v>
      </c>
      <c r="F683" s="4">
        <v>14.4</v>
      </c>
      <c r="G683" s="4">
        <v>0</v>
      </c>
      <c r="H683" s="4" t="s">
        <v>13</v>
      </c>
      <c r="I683" s="4">
        <v>9.1999999999999993</v>
      </c>
      <c r="J683" s="4">
        <v>8</v>
      </c>
      <c r="K683" s="5">
        <f t="shared" si="10"/>
        <v>0</v>
      </c>
    </row>
    <row r="684" spans="1:11" x14ac:dyDescent="0.2">
      <c r="A684" s="3">
        <v>45113</v>
      </c>
      <c r="B684" s="4" t="s">
        <v>10</v>
      </c>
      <c r="C684" s="4">
        <v>20</v>
      </c>
      <c r="D684" s="4">
        <v>11.4</v>
      </c>
      <c r="E684" s="4">
        <v>15.9</v>
      </c>
      <c r="F684" s="4">
        <v>15.9</v>
      </c>
      <c r="G684" s="4">
        <v>0</v>
      </c>
      <c r="H684" s="4" t="s">
        <v>13</v>
      </c>
      <c r="I684" s="4">
        <v>15</v>
      </c>
      <c r="J684" s="4">
        <v>5</v>
      </c>
      <c r="K684" s="5">
        <f t="shared" si="10"/>
        <v>0</v>
      </c>
    </row>
    <row r="685" spans="1:11" x14ac:dyDescent="0.2">
      <c r="A685" s="3">
        <v>44732</v>
      </c>
      <c r="B685" s="4" t="s">
        <v>10</v>
      </c>
      <c r="C685" s="4">
        <v>20.100000000000001</v>
      </c>
      <c r="D685" s="4">
        <v>8.1999999999999993</v>
      </c>
      <c r="E685" s="4">
        <v>14.1</v>
      </c>
      <c r="F685" s="4">
        <v>13.6</v>
      </c>
      <c r="G685" s="4">
        <v>0</v>
      </c>
      <c r="H685" s="4" t="s">
        <v>13</v>
      </c>
      <c r="I685" s="4">
        <v>10.5</v>
      </c>
      <c r="J685" s="4">
        <v>9</v>
      </c>
      <c r="K685" s="5">
        <f t="shared" si="10"/>
        <v>0</v>
      </c>
    </row>
    <row r="686" spans="1:11" x14ac:dyDescent="0.2">
      <c r="A686" s="3">
        <v>45160</v>
      </c>
      <c r="B686" s="4" t="s">
        <v>10</v>
      </c>
      <c r="C686" s="4">
        <v>20.5</v>
      </c>
      <c r="D686" s="4">
        <v>14.8</v>
      </c>
      <c r="E686" s="4">
        <v>17.5</v>
      </c>
      <c r="F686" s="4">
        <v>17.5</v>
      </c>
      <c r="G686" s="4">
        <v>0</v>
      </c>
      <c r="H686" s="4" t="s">
        <v>13</v>
      </c>
      <c r="I686" s="4">
        <v>17.600000000000001</v>
      </c>
      <c r="J686" s="4">
        <v>7</v>
      </c>
      <c r="K686" s="5">
        <f t="shared" si="10"/>
        <v>0</v>
      </c>
    </row>
    <row r="687" spans="1:11" x14ac:dyDescent="0.2">
      <c r="A687" s="3">
        <v>44722</v>
      </c>
      <c r="B687" s="4" t="s">
        <v>10</v>
      </c>
      <c r="C687" s="4">
        <v>20.6</v>
      </c>
      <c r="D687" s="4">
        <v>11.7</v>
      </c>
      <c r="E687" s="4">
        <v>16.2</v>
      </c>
      <c r="F687" s="4">
        <v>16.2</v>
      </c>
      <c r="G687" s="4">
        <v>0</v>
      </c>
      <c r="H687" s="4" t="s">
        <v>13</v>
      </c>
      <c r="I687" s="4">
        <v>18.2</v>
      </c>
      <c r="J687" s="4">
        <v>9</v>
      </c>
      <c r="K687" s="5">
        <f t="shared" si="10"/>
        <v>0</v>
      </c>
    </row>
    <row r="688" spans="1:11" x14ac:dyDescent="0.2">
      <c r="A688" s="3">
        <v>44769</v>
      </c>
      <c r="B688" s="4" t="s">
        <v>10</v>
      </c>
      <c r="C688" s="4">
        <v>20.7</v>
      </c>
      <c r="D688" s="4">
        <v>10.3</v>
      </c>
      <c r="E688" s="4">
        <v>15.7</v>
      </c>
      <c r="F688" s="4">
        <v>15.7</v>
      </c>
      <c r="G688" s="4">
        <v>0</v>
      </c>
      <c r="H688" s="4" t="s">
        <v>13</v>
      </c>
      <c r="I688" s="4">
        <v>9</v>
      </c>
      <c r="J688" s="4">
        <v>9</v>
      </c>
      <c r="K688" s="5">
        <f t="shared" si="10"/>
        <v>0</v>
      </c>
    </row>
    <row r="689" spans="1:11" x14ac:dyDescent="0.2">
      <c r="A689" s="3">
        <v>45147</v>
      </c>
      <c r="B689" s="4" t="s">
        <v>10</v>
      </c>
      <c r="C689" s="4">
        <v>20.7</v>
      </c>
      <c r="D689" s="4">
        <v>9.1999999999999993</v>
      </c>
      <c r="E689" s="4">
        <v>15.4</v>
      </c>
      <c r="F689" s="4">
        <v>15.2</v>
      </c>
      <c r="G689" s="4">
        <v>0</v>
      </c>
      <c r="H689" s="4" t="s">
        <v>13</v>
      </c>
      <c r="I689" s="4">
        <v>12.3</v>
      </c>
      <c r="J689" s="4">
        <v>7</v>
      </c>
      <c r="K689" s="5">
        <f t="shared" si="10"/>
        <v>0</v>
      </c>
    </row>
    <row r="690" spans="1:11" x14ac:dyDescent="0.2">
      <c r="A690" s="3">
        <v>44695</v>
      </c>
      <c r="B690" s="4" t="s">
        <v>10</v>
      </c>
      <c r="C690" s="4">
        <v>20.8</v>
      </c>
      <c r="D690" s="4">
        <v>6.9</v>
      </c>
      <c r="E690" s="4">
        <v>14.1</v>
      </c>
      <c r="F690" s="4">
        <v>13.7</v>
      </c>
      <c r="G690" s="4">
        <v>0</v>
      </c>
      <c r="H690" s="4" t="s">
        <v>13</v>
      </c>
      <c r="I690" s="4">
        <v>8.6999999999999993</v>
      </c>
      <c r="J690" s="4">
        <v>8</v>
      </c>
      <c r="K690" s="5">
        <f t="shared" si="10"/>
        <v>0</v>
      </c>
    </row>
    <row r="691" spans="1:11" x14ac:dyDescent="0.2">
      <c r="A691" s="3">
        <v>45135</v>
      </c>
      <c r="B691" s="4" t="s">
        <v>10</v>
      </c>
      <c r="C691" s="4">
        <v>20.8</v>
      </c>
      <c r="D691" s="4">
        <v>13.8</v>
      </c>
      <c r="E691" s="4">
        <v>17.7</v>
      </c>
      <c r="F691" s="4">
        <v>17.7</v>
      </c>
      <c r="G691" s="4">
        <v>0</v>
      </c>
      <c r="H691" s="4" t="s">
        <v>13</v>
      </c>
      <c r="I691" s="4">
        <v>12.8</v>
      </c>
      <c r="J691" s="4">
        <v>6</v>
      </c>
      <c r="K691" s="5">
        <f t="shared" si="10"/>
        <v>0</v>
      </c>
    </row>
    <row r="692" spans="1:11" x14ac:dyDescent="0.2">
      <c r="A692" s="3">
        <v>45073</v>
      </c>
      <c r="B692" s="4" t="s">
        <v>10</v>
      </c>
      <c r="C692" s="4">
        <v>20.9</v>
      </c>
      <c r="D692" s="4">
        <v>8.1</v>
      </c>
      <c r="E692" s="4">
        <v>14.8</v>
      </c>
      <c r="F692" s="4">
        <v>14.5</v>
      </c>
      <c r="G692" s="4">
        <v>0</v>
      </c>
      <c r="H692" s="4" t="s">
        <v>13</v>
      </c>
      <c r="I692" s="4">
        <v>9.6</v>
      </c>
      <c r="J692" s="4">
        <v>9</v>
      </c>
      <c r="K692" s="5">
        <f t="shared" si="10"/>
        <v>0</v>
      </c>
    </row>
    <row r="693" spans="1:11" x14ac:dyDescent="0.2">
      <c r="A693" s="3">
        <v>44755</v>
      </c>
      <c r="B693" s="4" t="s">
        <v>10</v>
      </c>
      <c r="C693" s="4">
        <v>21.2</v>
      </c>
      <c r="D693" s="4">
        <v>13.2</v>
      </c>
      <c r="E693" s="4">
        <v>17.100000000000001</v>
      </c>
      <c r="F693" s="4">
        <v>17.100000000000001</v>
      </c>
      <c r="G693" s="4">
        <v>0</v>
      </c>
      <c r="H693" s="4" t="s">
        <v>13</v>
      </c>
      <c r="I693" s="4">
        <v>13.1</v>
      </c>
      <c r="J693" s="4">
        <v>9</v>
      </c>
      <c r="K693" s="5">
        <f t="shared" si="10"/>
        <v>0</v>
      </c>
    </row>
    <row r="694" spans="1:11" x14ac:dyDescent="0.2">
      <c r="A694" s="3">
        <v>44780</v>
      </c>
      <c r="B694" s="4" t="s">
        <v>10</v>
      </c>
      <c r="C694" s="4">
        <v>21.5</v>
      </c>
      <c r="D694" s="4">
        <v>11.4</v>
      </c>
      <c r="E694" s="4">
        <v>16.3</v>
      </c>
      <c r="F694" s="4">
        <v>16.3</v>
      </c>
      <c r="G694" s="4">
        <v>0</v>
      </c>
      <c r="H694" s="4" t="s">
        <v>13</v>
      </c>
      <c r="I694" s="4">
        <v>14.4</v>
      </c>
      <c r="J694" s="4">
        <v>6</v>
      </c>
      <c r="K694" s="5">
        <f t="shared" si="10"/>
        <v>0</v>
      </c>
    </row>
    <row r="695" spans="1:11" x14ac:dyDescent="0.2">
      <c r="A695" s="3">
        <v>44727</v>
      </c>
      <c r="B695" s="4" t="s">
        <v>10</v>
      </c>
      <c r="C695" s="4">
        <v>21.6</v>
      </c>
      <c r="D695" s="4">
        <v>8.5</v>
      </c>
      <c r="E695" s="4">
        <v>15.7</v>
      </c>
      <c r="F695" s="4">
        <v>15.6</v>
      </c>
      <c r="G695" s="4">
        <v>0</v>
      </c>
      <c r="H695" s="4" t="s">
        <v>13</v>
      </c>
      <c r="I695" s="4">
        <v>7.8</v>
      </c>
      <c r="J695" s="4">
        <v>8</v>
      </c>
      <c r="K695" s="5">
        <f t="shared" si="10"/>
        <v>0</v>
      </c>
    </row>
    <row r="696" spans="1:11" x14ac:dyDescent="0.2">
      <c r="A696" s="3">
        <v>45158</v>
      </c>
      <c r="B696" s="4" t="s">
        <v>10</v>
      </c>
      <c r="C696" s="4">
        <v>21.6</v>
      </c>
      <c r="D696" s="4">
        <v>13.4</v>
      </c>
      <c r="E696" s="4">
        <v>17.3</v>
      </c>
      <c r="F696" s="4">
        <v>17.3</v>
      </c>
      <c r="G696" s="4">
        <v>0</v>
      </c>
      <c r="H696" s="4" t="s">
        <v>13</v>
      </c>
      <c r="I696" s="4">
        <v>14.2</v>
      </c>
      <c r="J696" s="4">
        <v>9</v>
      </c>
      <c r="K696" s="5">
        <f t="shared" si="10"/>
        <v>0</v>
      </c>
    </row>
    <row r="697" spans="1:11" x14ac:dyDescent="0.2">
      <c r="A697" s="3">
        <v>44801</v>
      </c>
      <c r="B697" s="4" t="s">
        <v>10</v>
      </c>
      <c r="C697" s="4">
        <v>21.8</v>
      </c>
      <c r="D697" s="4">
        <v>10.4</v>
      </c>
      <c r="E697" s="4">
        <v>15.9</v>
      </c>
      <c r="F697" s="4">
        <v>15.9</v>
      </c>
      <c r="G697" s="4">
        <v>0</v>
      </c>
      <c r="H697" s="4" t="s">
        <v>13</v>
      </c>
      <c r="I697" s="4">
        <v>8.1999999999999993</v>
      </c>
      <c r="J697" s="4">
        <v>6</v>
      </c>
      <c r="K697" s="5">
        <f t="shared" si="10"/>
        <v>0</v>
      </c>
    </row>
    <row r="698" spans="1:11" x14ac:dyDescent="0.2">
      <c r="A698" s="3">
        <v>44733</v>
      </c>
      <c r="B698" s="4" t="s">
        <v>10</v>
      </c>
      <c r="C698" s="4">
        <v>22.1</v>
      </c>
      <c r="D698" s="4">
        <v>8.3000000000000007</v>
      </c>
      <c r="E698" s="4">
        <v>16.100000000000001</v>
      </c>
      <c r="F698" s="4">
        <v>15.9</v>
      </c>
      <c r="G698" s="4">
        <v>0</v>
      </c>
      <c r="H698" s="4" t="s">
        <v>13</v>
      </c>
      <c r="I698" s="4">
        <v>8.6999999999999993</v>
      </c>
      <c r="J698" s="4">
        <v>8</v>
      </c>
      <c r="K698" s="5">
        <f t="shared" si="10"/>
        <v>0</v>
      </c>
    </row>
    <row r="699" spans="1:11" x14ac:dyDescent="0.2">
      <c r="A699" s="3">
        <v>44751</v>
      </c>
      <c r="B699" s="4" t="s">
        <v>10</v>
      </c>
      <c r="C699" s="4">
        <v>22.2</v>
      </c>
      <c r="D699" s="4">
        <v>13.3</v>
      </c>
      <c r="E699" s="4">
        <v>17.399999999999999</v>
      </c>
      <c r="F699" s="4">
        <v>17.399999999999999</v>
      </c>
      <c r="G699" s="4">
        <v>0</v>
      </c>
      <c r="H699" s="4" t="s">
        <v>13</v>
      </c>
      <c r="I699" s="4">
        <v>10.5</v>
      </c>
      <c r="J699" s="4">
        <v>8</v>
      </c>
      <c r="K699" s="5">
        <f t="shared" si="10"/>
        <v>0</v>
      </c>
    </row>
    <row r="700" spans="1:11" x14ac:dyDescent="0.2">
      <c r="A700" s="3">
        <v>45091</v>
      </c>
      <c r="B700" s="4" t="s">
        <v>10</v>
      </c>
      <c r="C700" s="4">
        <v>22.5</v>
      </c>
      <c r="D700" s="4">
        <v>9.1</v>
      </c>
      <c r="E700" s="4">
        <v>16.600000000000001</v>
      </c>
      <c r="F700" s="4">
        <v>16.399999999999999</v>
      </c>
      <c r="G700" s="4">
        <v>0</v>
      </c>
      <c r="H700" s="4" t="s">
        <v>13</v>
      </c>
      <c r="I700" s="4">
        <v>16.600000000000001</v>
      </c>
      <c r="J700" s="4">
        <v>9</v>
      </c>
      <c r="K700" s="5">
        <f t="shared" si="10"/>
        <v>0</v>
      </c>
    </row>
    <row r="701" spans="1:11" x14ac:dyDescent="0.2">
      <c r="A701" s="3">
        <v>45099</v>
      </c>
      <c r="B701" s="4" t="s">
        <v>10</v>
      </c>
      <c r="C701" s="4">
        <v>22.6</v>
      </c>
      <c r="D701" s="4">
        <v>12</v>
      </c>
      <c r="E701" s="4">
        <v>17.7</v>
      </c>
      <c r="F701" s="4">
        <v>17.7</v>
      </c>
      <c r="G701" s="4">
        <v>0</v>
      </c>
      <c r="H701" s="4" t="s">
        <v>13</v>
      </c>
      <c r="I701" s="4">
        <v>10.3</v>
      </c>
      <c r="J701" s="4">
        <v>6</v>
      </c>
      <c r="K701" s="5">
        <f t="shared" si="10"/>
        <v>0</v>
      </c>
    </row>
    <row r="702" spans="1:11" x14ac:dyDescent="0.2">
      <c r="A702" s="3">
        <v>44749</v>
      </c>
      <c r="B702" s="4" t="s">
        <v>10</v>
      </c>
      <c r="C702" s="4">
        <v>22.7</v>
      </c>
      <c r="D702" s="4">
        <v>12.8</v>
      </c>
      <c r="E702" s="4">
        <v>17.399999999999999</v>
      </c>
      <c r="F702" s="4">
        <v>17.399999999999999</v>
      </c>
      <c r="G702" s="4">
        <v>0</v>
      </c>
      <c r="H702" s="4" t="s">
        <v>13</v>
      </c>
      <c r="I702" s="4">
        <v>13.9</v>
      </c>
      <c r="J702" s="4">
        <v>9</v>
      </c>
      <c r="K702" s="5">
        <f t="shared" si="10"/>
        <v>0</v>
      </c>
    </row>
    <row r="703" spans="1:11" x14ac:dyDescent="0.2">
      <c r="A703" s="3">
        <v>44781</v>
      </c>
      <c r="B703" s="4" t="s">
        <v>10</v>
      </c>
      <c r="C703" s="4">
        <v>22.9</v>
      </c>
      <c r="D703" s="4">
        <v>11.4</v>
      </c>
      <c r="E703" s="4">
        <v>17.399999999999999</v>
      </c>
      <c r="F703" s="4">
        <v>17.399999999999999</v>
      </c>
      <c r="G703" s="4">
        <v>0</v>
      </c>
      <c r="H703" s="4" t="s">
        <v>13</v>
      </c>
      <c r="I703" s="4">
        <v>9.5</v>
      </c>
      <c r="J703" s="4">
        <v>7</v>
      </c>
      <c r="K703" s="5">
        <f t="shared" si="10"/>
        <v>0</v>
      </c>
    </row>
    <row r="704" spans="1:11" x14ac:dyDescent="0.2">
      <c r="A704" s="3">
        <v>45092</v>
      </c>
      <c r="B704" s="4" t="s">
        <v>10</v>
      </c>
      <c r="C704" s="4">
        <v>23.3</v>
      </c>
      <c r="D704" s="4">
        <v>10.1</v>
      </c>
      <c r="E704" s="4">
        <v>17.100000000000001</v>
      </c>
      <c r="F704" s="4">
        <v>17.100000000000001</v>
      </c>
      <c r="G704" s="4">
        <v>0</v>
      </c>
      <c r="H704" s="4" t="s">
        <v>13</v>
      </c>
      <c r="I704" s="4">
        <v>11.1</v>
      </c>
      <c r="J704" s="4">
        <v>10</v>
      </c>
      <c r="K704" s="5">
        <f t="shared" si="10"/>
        <v>0</v>
      </c>
    </row>
    <row r="705" spans="1:11" x14ac:dyDescent="0.2">
      <c r="A705" s="3">
        <v>44728</v>
      </c>
      <c r="B705" s="4" t="s">
        <v>10</v>
      </c>
      <c r="C705" s="4">
        <v>23.7</v>
      </c>
      <c r="D705" s="4">
        <v>9.5</v>
      </c>
      <c r="E705" s="4">
        <v>17.3</v>
      </c>
      <c r="F705" s="4">
        <v>17.3</v>
      </c>
      <c r="G705" s="4">
        <v>0</v>
      </c>
      <c r="H705" s="4" t="s">
        <v>13</v>
      </c>
      <c r="I705" s="4">
        <v>7.4</v>
      </c>
      <c r="J705" s="4">
        <v>8</v>
      </c>
      <c r="K705" s="5">
        <f t="shared" si="10"/>
        <v>0</v>
      </c>
    </row>
    <row r="706" spans="1:11" x14ac:dyDescent="0.2">
      <c r="A706" s="3">
        <v>44750</v>
      </c>
      <c r="B706" s="4" t="s">
        <v>10</v>
      </c>
      <c r="C706" s="4">
        <v>23.7</v>
      </c>
      <c r="D706" s="4">
        <v>13.3</v>
      </c>
      <c r="E706" s="4">
        <v>18.7</v>
      </c>
      <c r="F706" s="4">
        <v>18.7</v>
      </c>
      <c r="G706" s="4">
        <v>0</v>
      </c>
      <c r="H706" s="4" t="s">
        <v>13</v>
      </c>
      <c r="I706" s="4">
        <v>14.2</v>
      </c>
      <c r="J706" s="4">
        <v>8</v>
      </c>
      <c r="K706" s="5">
        <f t="shared" ref="K706:K732" si="11">SUM(G706*25.4)</f>
        <v>0</v>
      </c>
    </row>
    <row r="707" spans="1:11" x14ac:dyDescent="0.2">
      <c r="A707" s="3">
        <v>45172</v>
      </c>
      <c r="B707" s="4" t="s">
        <v>10</v>
      </c>
      <c r="C707" s="4">
        <v>23.7</v>
      </c>
      <c r="D707" s="4">
        <v>11.5</v>
      </c>
      <c r="E707" s="4">
        <v>17</v>
      </c>
      <c r="F707" s="4">
        <v>17</v>
      </c>
      <c r="G707" s="4">
        <v>0</v>
      </c>
      <c r="H707" s="4" t="s">
        <v>13</v>
      </c>
      <c r="I707" s="4">
        <v>11.7</v>
      </c>
      <c r="J707" s="4">
        <v>8</v>
      </c>
      <c r="K707" s="5">
        <f t="shared" si="11"/>
        <v>0</v>
      </c>
    </row>
    <row r="708" spans="1:11" x14ac:dyDescent="0.2">
      <c r="A708" s="3">
        <v>44762</v>
      </c>
      <c r="B708" s="4" t="s">
        <v>10</v>
      </c>
      <c r="C708" s="4">
        <v>23.8</v>
      </c>
      <c r="D708" s="4">
        <v>17</v>
      </c>
      <c r="E708" s="4">
        <v>20.6</v>
      </c>
      <c r="F708" s="4">
        <v>20.6</v>
      </c>
      <c r="G708" s="4">
        <v>0</v>
      </c>
      <c r="H708" s="4" t="s">
        <v>13</v>
      </c>
      <c r="I708" s="4">
        <v>14.5</v>
      </c>
      <c r="J708" s="4">
        <v>5</v>
      </c>
      <c r="K708" s="5">
        <f t="shared" si="11"/>
        <v>0</v>
      </c>
    </row>
    <row r="709" spans="1:11" x14ac:dyDescent="0.2">
      <c r="A709" s="3">
        <v>44734</v>
      </c>
      <c r="B709" s="4" t="s">
        <v>10</v>
      </c>
      <c r="C709" s="4">
        <v>23.9</v>
      </c>
      <c r="D709" s="4">
        <v>10.3</v>
      </c>
      <c r="E709" s="4">
        <v>17.7</v>
      </c>
      <c r="F709" s="4">
        <v>17.7</v>
      </c>
      <c r="G709" s="4">
        <v>0</v>
      </c>
      <c r="H709" s="4" t="s">
        <v>13</v>
      </c>
      <c r="I709" s="4">
        <v>10.4</v>
      </c>
      <c r="J709" s="4">
        <v>9</v>
      </c>
      <c r="K709" s="5">
        <f t="shared" si="11"/>
        <v>0</v>
      </c>
    </row>
    <row r="710" spans="1:11" x14ac:dyDescent="0.2">
      <c r="A710" s="3">
        <v>44758</v>
      </c>
      <c r="B710" s="4" t="s">
        <v>10</v>
      </c>
      <c r="C710" s="4">
        <v>23.9</v>
      </c>
      <c r="D710" s="4">
        <v>9.6999999999999993</v>
      </c>
      <c r="E710" s="4">
        <v>17.100000000000001</v>
      </c>
      <c r="F710" s="4">
        <v>17.100000000000001</v>
      </c>
      <c r="G710" s="4">
        <v>0</v>
      </c>
      <c r="H710" s="4" t="s">
        <v>13</v>
      </c>
      <c r="I710" s="4">
        <v>10.199999999999999</v>
      </c>
      <c r="J710" s="4">
        <v>9</v>
      </c>
      <c r="K710" s="5">
        <f t="shared" si="11"/>
        <v>0</v>
      </c>
    </row>
    <row r="711" spans="1:11" x14ac:dyDescent="0.2">
      <c r="A711" s="3">
        <v>45093</v>
      </c>
      <c r="B711" s="4" t="s">
        <v>10</v>
      </c>
      <c r="C711" s="4">
        <v>24.1</v>
      </c>
      <c r="D711" s="4">
        <v>9.3000000000000007</v>
      </c>
      <c r="E711" s="4">
        <v>17.7</v>
      </c>
      <c r="F711" s="4">
        <v>17.7</v>
      </c>
      <c r="G711" s="4">
        <v>0</v>
      </c>
      <c r="H711" s="4" t="s">
        <v>13</v>
      </c>
      <c r="I711" s="4">
        <v>8.9</v>
      </c>
      <c r="J711" s="4">
        <v>9</v>
      </c>
      <c r="K711" s="5">
        <f t="shared" si="11"/>
        <v>0</v>
      </c>
    </row>
    <row r="712" spans="1:11" x14ac:dyDescent="0.2">
      <c r="A712" s="3">
        <v>45087</v>
      </c>
      <c r="B712" s="4" t="s">
        <v>10</v>
      </c>
      <c r="C712" s="4">
        <v>24.4</v>
      </c>
      <c r="D712" s="4">
        <v>8.5</v>
      </c>
      <c r="E712" s="4">
        <v>15.9</v>
      </c>
      <c r="F712" s="4">
        <v>15.4</v>
      </c>
      <c r="G712" s="4">
        <v>0</v>
      </c>
      <c r="H712" s="4" t="s">
        <v>13</v>
      </c>
      <c r="I712" s="4">
        <v>15.7</v>
      </c>
      <c r="J712" s="4">
        <v>9</v>
      </c>
      <c r="K712" s="5">
        <f t="shared" si="11"/>
        <v>0</v>
      </c>
    </row>
    <row r="713" spans="1:11" x14ac:dyDescent="0.2">
      <c r="A713" s="3">
        <v>44782</v>
      </c>
      <c r="B713" s="4" t="s">
        <v>10</v>
      </c>
      <c r="C713" s="4">
        <v>24.9</v>
      </c>
      <c r="D713" s="4">
        <v>9.6999999999999993</v>
      </c>
      <c r="E713" s="4">
        <v>17.899999999999999</v>
      </c>
      <c r="F713" s="4">
        <v>17.899999999999999</v>
      </c>
      <c r="G713" s="4">
        <v>0</v>
      </c>
      <c r="H713" s="4" t="s">
        <v>13</v>
      </c>
      <c r="I713" s="4">
        <v>7.4</v>
      </c>
      <c r="J713" s="4">
        <v>7</v>
      </c>
      <c r="K713" s="5">
        <f t="shared" si="11"/>
        <v>0</v>
      </c>
    </row>
    <row r="714" spans="1:11" x14ac:dyDescent="0.2">
      <c r="A714" s="3">
        <v>45101</v>
      </c>
      <c r="B714" s="4" t="s">
        <v>10</v>
      </c>
      <c r="C714" s="4">
        <v>25.1</v>
      </c>
      <c r="D714" s="4">
        <v>17.100000000000001</v>
      </c>
      <c r="E714" s="4">
        <v>20.9</v>
      </c>
      <c r="F714" s="4">
        <v>20.9</v>
      </c>
      <c r="G714" s="4">
        <v>0</v>
      </c>
      <c r="H714" s="4" t="s">
        <v>13</v>
      </c>
      <c r="I714" s="4">
        <v>12.2</v>
      </c>
      <c r="J714" s="4">
        <v>7</v>
      </c>
      <c r="K714" s="5">
        <f t="shared" si="11"/>
        <v>0</v>
      </c>
    </row>
    <row r="715" spans="1:11" x14ac:dyDescent="0.2">
      <c r="A715" s="3">
        <v>45174</v>
      </c>
      <c r="B715" s="4" t="s">
        <v>10</v>
      </c>
      <c r="C715" s="4">
        <v>25.1</v>
      </c>
      <c r="D715" s="4">
        <v>12.1</v>
      </c>
      <c r="E715" s="4">
        <v>17.899999999999999</v>
      </c>
      <c r="F715" s="4">
        <v>17.899999999999999</v>
      </c>
      <c r="G715" s="4">
        <v>0</v>
      </c>
      <c r="H715" s="4" t="s">
        <v>13</v>
      </c>
      <c r="I715" s="4">
        <v>13.3</v>
      </c>
      <c r="J715" s="4">
        <v>7</v>
      </c>
      <c r="K715" s="5">
        <f t="shared" si="11"/>
        <v>0</v>
      </c>
    </row>
    <row r="716" spans="1:11" x14ac:dyDescent="0.2">
      <c r="A716" s="3">
        <v>44729</v>
      </c>
      <c r="B716" s="4" t="s">
        <v>10</v>
      </c>
      <c r="C716" s="4">
        <v>25.3</v>
      </c>
      <c r="D716" s="4">
        <v>16.600000000000001</v>
      </c>
      <c r="E716" s="4">
        <v>19.7</v>
      </c>
      <c r="F716" s="4">
        <v>19.7</v>
      </c>
      <c r="G716" s="4">
        <v>0</v>
      </c>
      <c r="H716" s="4" t="s">
        <v>13</v>
      </c>
      <c r="I716" s="4">
        <v>19.399999999999999</v>
      </c>
      <c r="J716" s="4">
        <v>9</v>
      </c>
      <c r="K716" s="5">
        <f t="shared" si="11"/>
        <v>0</v>
      </c>
    </row>
    <row r="717" spans="1:11" x14ac:dyDescent="0.2">
      <c r="A717" s="3">
        <v>45090</v>
      </c>
      <c r="B717" s="4" t="s">
        <v>10</v>
      </c>
      <c r="C717" s="4">
        <v>25.3</v>
      </c>
      <c r="D717" s="4">
        <v>12.6</v>
      </c>
      <c r="E717" s="4">
        <v>19.100000000000001</v>
      </c>
      <c r="F717" s="4">
        <v>19.100000000000001</v>
      </c>
      <c r="G717" s="4">
        <v>0</v>
      </c>
      <c r="H717" s="4" t="s">
        <v>13</v>
      </c>
      <c r="I717" s="4">
        <v>12.8</v>
      </c>
      <c r="J717" s="4">
        <v>9</v>
      </c>
      <c r="K717" s="5">
        <f t="shared" si="11"/>
        <v>0</v>
      </c>
    </row>
    <row r="718" spans="1:11" x14ac:dyDescent="0.2">
      <c r="A718" s="3">
        <v>45114</v>
      </c>
      <c r="B718" s="4" t="s">
        <v>10</v>
      </c>
      <c r="C718" s="4">
        <v>25.3</v>
      </c>
      <c r="D718" s="4">
        <v>13</v>
      </c>
      <c r="E718" s="4">
        <v>19.5</v>
      </c>
      <c r="F718" s="4">
        <v>19.5</v>
      </c>
      <c r="G718" s="4">
        <v>0</v>
      </c>
      <c r="H718" s="4" t="s">
        <v>13</v>
      </c>
      <c r="I718" s="4">
        <v>15.4</v>
      </c>
      <c r="J718" s="4">
        <v>10</v>
      </c>
      <c r="K718" s="5">
        <f t="shared" si="11"/>
        <v>0</v>
      </c>
    </row>
    <row r="719" spans="1:11" x14ac:dyDescent="0.2">
      <c r="A719" s="3">
        <v>45175</v>
      </c>
      <c r="B719" s="4" t="s">
        <v>10</v>
      </c>
      <c r="C719" s="4">
        <v>25.3</v>
      </c>
      <c r="D719" s="4">
        <v>14.5</v>
      </c>
      <c r="E719" s="4">
        <v>18.7</v>
      </c>
      <c r="F719" s="4">
        <v>18.7</v>
      </c>
      <c r="G719" s="4">
        <v>0</v>
      </c>
      <c r="H719" s="4" t="s">
        <v>13</v>
      </c>
      <c r="I719" s="4">
        <v>6.5</v>
      </c>
      <c r="J719" s="4">
        <v>7</v>
      </c>
      <c r="K719" s="5">
        <f t="shared" si="11"/>
        <v>0</v>
      </c>
    </row>
    <row r="720" spans="1:11" x14ac:dyDescent="0.2">
      <c r="A720" s="3">
        <v>45176</v>
      </c>
      <c r="B720" s="4" t="s">
        <v>10</v>
      </c>
      <c r="C720" s="4">
        <v>25.6</v>
      </c>
      <c r="D720" s="4">
        <v>15.8</v>
      </c>
      <c r="E720" s="4">
        <v>19.600000000000001</v>
      </c>
      <c r="F720" s="4">
        <v>19.600000000000001</v>
      </c>
      <c r="G720" s="4">
        <v>0</v>
      </c>
      <c r="H720" s="4" t="s">
        <v>13</v>
      </c>
      <c r="I720" s="4">
        <v>8</v>
      </c>
      <c r="J720" s="4">
        <v>7</v>
      </c>
      <c r="K720" s="5">
        <f t="shared" si="11"/>
        <v>0</v>
      </c>
    </row>
    <row r="721" spans="1:11" x14ac:dyDescent="0.2">
      <c r="A721" s="3">
        <v>44752</v>
      </c>
      <c r="B721" s="4" t="s">
        <v>10</v>
      </c>
      <c r="C721" s="4">
        <v>25.7</v>
      </c>
      <c r="D721" s="4">
        <v>11.6</v>
      </c>
      <c r="E721" s="4">
        <v>19.100000000000001</v>
      </c>
      <c r="F721" s="4">
        <v>19.100000000000001</v>
      </c>
      <c r="G721" s="4">
        <v>0</v>
      </c>
      <c r="H721" s="4" t="s">
        <v>13</v>
      </c>
      <c r="I721" s="4">
        <v>8.6999999999999993</v>
      </c>
      <c r="J721" s="4">
        <v>9</v>
      </c>
      <c r="K721" s="5">
        <f t="shared" si="11"/>
        <v>0</v>
      </c>
    </row>
    <row r="722" spans="1:11" x14ac:dyDescent="0.2">
      <c r="A722" s="3">
        <v>45088</v>
      </c>
      <c r="B722" s="4" t="s">
        <v>10</v>
      </c>
      <c r="C722" s="4">
        <v>25.8</v>
      </c>
      <c r="D722" s="4">
        <v>10.6</v>
      </c>
      <c r="E722" s="4">
        <v>17.8</v>
      </c>
      <c r="F722" s="4">
        <v>17.8</v>
      </c>
      <c r="G722" s="4">
        <v>0</v>
      </c>
      <c r="H722" s="4" t="s">
        <v>13</v>
      </c>
      <c r="I722" s="4">
        <v>11.2</v>
      </c>
      <c r="J722" s="4">
        <v>9</v>
      </c>
      <c r="K722" s="5">
        <f t="shared" si="11"/>
        <v>0</v>
      </c>
    </row>
    <row r="723" spans="1:11" x14ac:dyDescent="0.2">
      <c r="A723" s="3">
        <v>45089</v>
      </c>
      <c r="B723" s="4" t="s">
        <v>10</v>
      </c>
      <c r="C723" s="4">
        <v>25.9</v>
      </c>
      <c r="D723" s="4">
        <v>12.6</v>
      </c>
      <c r="E723" s="4">
        <v>19.7</v>
      </c>
      <c r="F723" s="4">
        <v>19.7</v>
      </c>
      <c r="G723" s="4">
        <v>0</v>
      </c>
      <c r="H723" s="4" t="s">
        <v>13</v>
      </c>
      <c r="I723" s="4">
        <v>12.3</v>
      </c>
      <c r="J723" s="4">
        <v>9</v>
      </c>
      <c r="K723" s="5">
        <f t="shared" si="11"/>
        <v>0</v>
      </c>
    </row>
    <row r="724" spans="1:11" x14ac:dyDescent="0.2">
      <c r="A724" s="3">
        <v>45173</v>
      </c>
      <c r="B724" s="4" t="s">
        <v>10</v>
      </c>
      <c r="C724" s="4">
        <v>26</v>
      </c>
      <c r="D724" s="4">
        <v>10.4</v>
      </c>
      <c r="E724" s="4">
        <v>18.100000000000001</v>
      </c>
      <c r="F724" s="4">
        <v>18.100000000000001</v>
      </c>
      <c r="G724" s="4">
        <v>0</v>
      </c>
      <c r="H724" s="4" t="s">
        <v>13</v>
      </c>
      <c r="I724" s="4">
        <v>8.4</v>
      </c>
      <c r="J724" s="4">
        <v>7</v>
      </c>
      <c r="K724" s="5">
        <f t="shared" si="11"/>
        <v>0</v>
      </c>
    </row>
    <row r="725" spans="1:11" x14ac:dyDescent="0.2">
      <c r="A725" s="3">
        <v>44786</v>
      </c>
      <c r="B725" s="4" t="s">
        <v>10</v>
      </c>
      <c r="C725" s="4">
        <v>27.4</v>
      </c>
      <c r="D725" s="4">
        <v>13.5</v>
      </c>
      <c r="E725" s="4">
        <v>20.100000000000001</v>
      </c>
      <c r="F725" s="4">
        <v>20.100000000000001</v>
      </c>
      <c r="G725" s="4">
        <v>0</v>
      </c>
      <c r="H725" s="4" t="s">
        <v>13</v>
      </c>
      <c r="I725" s="4">
        <v>12</v>
      </c>
      <c r="J725" s="4">
        <v>8</v>
      </c>
      <c r="K725" s="5">
        <f t="shared" si="11"/>
        <v>0</v>
      </c>
    </row>
    <row r="726" spans="1:11" x14ac:dyDescent="0.2">
      <c r="A726" s="3">
        <v>44753</v>
      </c>
      <c r="B726" s="4" t="s">
        <v>10</v>
      </c>
      <c r="C726" s="4">
        <v>28.3</v>
      </c>
      <c r="D726" s="4">
        <v>12.5</v>
      </c>
      <c r="E726" s="4">
        <v>21.1</v>
      </c>
      <c r="F726" s="4">
        <v>21.1</v>
      </c>
      <c r="G726" s="4">
        <v>0</v>
      </c>
      <c r="H726" s="4" t="s">
        <v>13</v>
      </c>
      <c r="I726" s="4">
        <v>10.3</v>
      </c>
      <c r="J726" s="4">
        <v>8</v>
      </c>
      <c r="K726" s="5">
        <f t="shared" si="11"/>
        <v>0</v>
      </c>
    </row>
    <row r="727" spans="1:11" x14ac:dyDescent="0.2">
      <c r="A727" s="3">
        <v>44785</v>
      </c>
      <c r="B727" s="4" t="s">
        <v>10</v>
      </c>
      <c r="C727" s="4">
        <v>28.4</v>
      </c>
      <c r="D727" s="4">
        <v>13.7</v>
      </c>
      <c r="E727" s="4">
        <v>20.8</v>
      </c>
      <c r="F727" s="4">
        <v>20.6</v>
      </c>
      <c r="G727" s="4">
        <v>0</v>
      </c>
      <c r="H727" s="4" t="s">
        <v>13</v>
      </c>
      <c r="I727" s="4">
        <v>11.8</v>
      </c>
      <c r="J727" s="4">
        <v>8</v>
      </c>
      <c r="K727" s="5">
        <f t="shared" si="11"/>
        <v>0</v>
      </c>
    </row>
    <row r="728" spans="1:11" x14ac:dyDescent="0.2">
      <c r="A728" s="3">
        <v>44787</v>
      </c>
      <c r="B728" s="4" t="s">
        <v>10</v>
      </c>
      <c r="C728" s="4">
        <v>28.8</v>
      </c>
      <c r="D728" s="4">
        <v>15.1</v>
      </c>
      <c r="E728" s="4">
        <v>21.1</v>
      </c>
      <c r="F728" s="4">
        <v>20.9</v>
      </c>
      <c r="G728" s="4">
        <v>0</v>
      </c>
      <c r="H728" s="4" t="s">
        <v>13</v>
      </c>
      <c r="I728" s="4">
        <v>7.6</v>
      </c>
      <c r="J728" s="4">
        <v>7</v>
      </c>
      <c r="K728" s="5">
        <f t="shared" si="11"/>
        <v>0</v>
      </c>
    </row>
    <row r="729" spans="1:11" x14ac:dyDescent="0.2">
      <c r="A729" s="3">
        <v>44783</v>
      </c>
      <c r="B729" s="4" t="s">
        <v>10</v>
      </c>
      <c r="C729" s="4">
        <v>28.9</v>
      </c>
      <c r="D729" s="4">
        <v>11.4</v>
      </c>
      <c r="E729" s="4">
        <v>20.5</v>
      </c>
      <c r="F729" s="4">
        <v>20.399999999999999</v>
      </c>
      <c r="G729" s="4">
        <v>0</v>
      </c>
      <c r="H729" s="4" t="s">
        <v>13</v>
      </c>
      <c r="I729" s="4">
        <v>8.1999999999999993</v>
      </c>
      <c r="J729" s="4">
        <v>8</v>
      </c>
      <c r="K729" s="5">
        <f t="shared" si="11"/>
        <v>0</v>
      </c>
    </row>
    <row r="730" spans="1:11" x14ac:dyDescent="0.2">
      <c r="A730" s="3">
        <v>44784</v>
      </c>
      <c r="B730" s="4" t="s">
        <v>10</v>
      </c>
      <c r="C730" s="4">
        <v>29.4</v>
      </c>
      <c r="D730" s="4">
        <v>13.8</v>
      </c>
      <c r="E730" s="4">
        <v>21.6</v>
      </c>
      <c r="F730" s="4">
        <v>21.4</v>
      </c>
      <c r="G730" s="4">
        <v>0</v>
      </c>
      <c r="H730" s="4" t="s">
        <v>13</v>
      </c>
      <c r="I730" s="4">
        <v>8</v>
      </c>
      <c r="J730" s="4">
        <v>8</v>
      </c>
      <c r="K730" s="5">
        <f t="shared" si="11"/>
        <v>0</v>
      </c>
    </row>
    <row r="731" spans="1:11" x14ac:dyDescent="0.2">
      <c r="A731" s="3">
        <v>44760</v>
      </c>
      <c r="B731" s="4" t="s">
        <v>10</v>
      </c>
      <c r="C731" s="4">
        <v>33.200000000000003</v>
      </c>
      <c r="D731" s="4">
        <v>19.100000000000001</v>
      </c>
      <c r="E731" s="4">
        <v>25.4</v>
      </c>
      <c r="F731" s="4">
        <v>24.8</v>
      </c>
      <c r="G731" s="4">
        <v>0</v>
      </c>
      <c r="H731" s="4" t="s">
        <v>13</v>
      </c>
      <c r="I731" s="4">
        <v>8.6999999999999993</v>
      </c>
      <c r="J731" s="4">
        <v>8</v>
      </c>
      <c r="K731" s="5">
        <f t="shared" si="11"/>
        <v>0</v>
      </c>
    </row>
    <row r="732" spans="1:11" x14ac:dyDescent="0.2">
      <c r="A732" s="3">
        <v>44761</v>
      </c>
      <c r="B732" s="4" t="s">
        <v>10</v>
      </c>
      <c r="C732" s="4">
        <v>37.1</v>
      </c>
      <c r="D732" s="4">
        <v>18.7</v>
      </c>
      <c r="E732" s="4">
        <v>27.3</v>
      </c>
      <c r="F732" s="4">
        <v>26.8</v>
      </c>
      <c r="G732" s="4">
        <v>0</v>
      </c>
      <c r="H732" s="4" t="s">
        <v>13</v>
      </c>
      <c r="I732" s="4">
        <v>16.399999999999999</v>
      </c>
      <c r="J732" s="4">
        <v>8</v>
      </c>
      <c r="K732" s="5">
        <f t="shared" si="11"/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9B54-D01C-1C4B-8276-7EF7AD21E501}">
  <dimension ref="A1:H1254"/>
  <sheetViews>
    <sheetView workbookViewId="0">
      <selection activeCell="I26" sqref="I26"/>
    </sheetView>
  </sheetViews>
  <sheetFormatPr baseColWidth="10" defaultRowHeight="16" x14ac:dyDescent="0.2"/>
  <sheetData>
    <row r="1" spans="1:8" x14ac:dyDescent="0.2">
      <c r="A1" t="s">
        <v>0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</row>
    <row r="2" spans="1:8" x14ac:dyDescent="0.2">
      <c r="A2" s="2">
        <v>44563</v>
      </c>
      <c r="B2">
        <v>75</v>
      </c>
      <c r="C2">
        <v>35</v>
      </c>
      <c r="D2">
        <v>90</v>
      </c>
      <c r="E2">
        <v>200</v>
      </c>
      <c r="F2">
        <v>99</v>
      </c>
      <c r="G2">
        <v>7.54</v>
      </c>
      <c r="H2">
        <v>1507.68</v>
      </c>
    </row>
    <row r="3" spans="1:8" x14ac:dyDescent="0.2">
      <c r="A3" s="2">
        <v>44564</v>
      </c>
      <c r="B3">
        <v>50</v>
      </c>
      <c r="C3">
        <v>72</v>
      </c>
      <c r="D3">
        <v>45</v>
      </c>
      <c r="E3">
        <v>167</v>
      </c>
      <c r="F3">
        <v>98</v>
      </c>
      <c r="G3">
        <v>7.41</v>
      </c>
      <c r="H3">
        <v>1237.27</v>
      </c>
    </row>
    <row r="4" spans="1:8" x14ac:dyDescent="0.2">
      <c r="A4" s="2">
        <v>44565</v>
      </c>
      <c r="B4">
        <v>41</v>
      </c>
      <c r="C4">
        <v>30</v>
      </c>
      <c r="D4">
        <v>60</v>
      </c>
      <c r="E4">
        <v>131</v>
      </c>
      <c r="F4">
        <v>93</v>
      </c>
      <c r="G4">
        <v>11.57</v>
      </c>
      <c r="H4">
        <v>1515.39</v>
      </c>
    </row>
    <row r="5" spans="1:8" x14ac:dyDescent="0.2">
      <c r="A5" s="2">
        <v>44566</v>
      </c>
      <c r="B5">
        <v>4</v>
      </c>
      <c r="C5">
        <v>12</v>
      </c>
      <c r="D5">
        <v>82</v>
      </c>
      <c r="E5">
        <v>98</v>
      </c>
      <c r="F5">
        <v>68</v>
      </c>
      <c r="G5">
        <v>23.31</v>
      </c>
      <c r="H5">
        <v>2284.29</v>
      </c>
    </row>
    <row r="6" spans="1:8" x14ac:dyDescent="0.2">
      <c r="A6" s="2">
        <v>44567</v>
      </c>
      <c r="B6">
        <v>27</v>
      </c>
      <c r="C6">
        <v>19</v>
      </c>
      <c r="D6">
        <v>48</v>
      </c>
      <c r="E6">
        <v>94</v>
      </c>
      <c r="F6">
        <v>92</v>
      </c>
      <c r="G6">
        <v>15.23</v>
      </c>
      <c r="H6">
        <v>1431.31</v>
      </c>
    </row>
    <row r="7" spans="1:8" x14ac:dyDescent="0.2">
      <c r="A7" s="2">
        <v>44568</v>
      </c>
      <c r="B7">
        <v>70</v>
      </c>
      <c r="C7">
        <v>31</v>
      </c>
      <c r="D7">
        <v>56</v>
      </c>
      <c r="E7">
        <v>157</v>
      </c>
      <c r="F7">
        <v>86</v>
      </c>
      <c r="G7">
        <v>21.88</v>
      </c>
      <c r="H7">
        <v>3435.45</v>
      </c>
    </row>
    <row r="8" spans="1:8" x14ac:dyDescent="0.2">
      <c r="A8" s="2">
        <v>44569</v>
      </c>
      <c r="B8">
        <v>138</v>
      </c>
      <c r="C8">
        <v>64</v>
      </c>
      <c r="D8">
        <v>54</v>
      </c>
      <c r="E8">
        <v>256</v>
      </c>
      <c r="F8">
        <v>99</v>
      </c>
      <c r="G8">
        <v>16.45</v>
      </c>
      <c r="H8">
        <v>4211.5</v>
      </c>
    </row>
    <row r="9" spans="1:8" x14ac:dyDescent="0.2">
      <c r="A9" s="2">
        <v>44570</v>
      </c>
      <c r="B9">
        <v>61</v>
      </c>
      <c r="C9">
        <v>37</v>
      </c>
      <c r="D9">
        <v>50</v>
      </c>
      <c r="E9">
        <v>148</v>
      </c>
      <c r="F9">
        <v>83</v>
      </c>
      <c r="G9">
        <v>13.29</v>
      </c>
      <c r="H9">
        <v>1967.32</v>
      </c>
    </row>
    <row r="10" spans="1:8" x14ac:dyDescent="0.2">
      <c r="A10" s="2">
        <v>44571</v>
      </c>
      <c r="B10">
        <v>33</v>
      </c>
      <c r="C10">
        <v>11</v>
      </c>
      <c r="D10">
        <v>48</v>
      </c>
      <c r="E10">
        <v>92</v>
      </c>
      <c r="F10">
        <v>86</v>
      </c>
      <c r="G10">
        <v>25.7</v>
      </c>
      <c r="H10">
        <v>2364.52</v>
      </c>
    </row>
    <row r="11" spans="1:8" x14ac:dyDescent="0.2">
      <c r="A11" s="2">
        <v>44572</v>
      </c>
      <c r="B11">
        <v>14</v>
      </c>
      <c r="C11">
        <v>13</v>
      </c>
      <c r="D11">
        <v>62</v>
      </c>
      <c r="E11">
        <v>89</v>
      </c>
      <c r="F11">
        <v>101</v>
      </c>
      <c r="G11">
        <v>10.64</v>
      </c>
      <c r="H11">
        <v>947.06</v>
      </c>
    </row>
    <row r="12" spans="1:8" x14ac:dyDescent="0.2">
      <c r="A12" s="2">
        <v>44573</v>
      </c>
      <c r="B12">
        <v>49</v>
      </c>
      <c r="C12">
        <v>22</v>
      </c>
      <c r="D12">
        <v>60</v>
      </c>
      <c r="E12">
        <v>131</v>
      </c>
      <c r="F12">
        <v>91</v>
      </c>
      <c r="G12">
        <v>14.99</v>
      </c>
      <c r="H12">
        <v>1963.86</v>
      </c>
    </row>
    <row r="13" spans="1:8" x14ac:dyDescent="0.2">
      <c r="A13" s="2">
        <v>44574</v>
      </c>
      <c r="B13">
        <v>40</v>
      </c>
      <c r="C13">
        <v>10</v>
      </c>
      <c r="D13">
        <v>69</v>
      </c>
      <c r="E13">
        <v>119</v>
      </c>
      <c r="F13">
        <v>98</v>
      </c>
      <c r="G13">
        <v>18.489999999999998</v>
      </c>
      <c r="H13">
        <v>2200.1799999999998</v>
      </c>
    </row>
    <row r="14" spans="1:8" x14ac:dyDescent="0.2">
      <c r="A14" s="2">
        <v>44575</v>
      </c>
      <c r="B14">
        <v>93</v>
      </c>
      <c r="C14">
        <v>48</v>
      </c>
      <c r="D14">
        <v>55</v>
      </c>
      <c r="E14">
        <v>196</v>
      </c>
      <c r="F14">
        <v>93</v>
      </c>
      <c r="G14">
        <v>10.23</v>
      </c>
      <c r="H14">
        <v>2006.02</v>
      </c>
    </row>
    <row r="15" spans="1:8" x14ac:dyDescent="0.2">
      <c r="A15" s="2">
        <v>44576</v>
      </c>
      <c r="B15">
        <v>237</v>
      </c>
      <c r="C15">
        <v>37</v>
      </c>
      <c r="D15">
        <v>55</v>
      </c>
      <c r="E15">
        <v>329</v>
      </c>
      <c r="F15">
        <v>102</v>
      </c>
      <c r="G15">
        <v>12.85</v>
      </c>
      <c r="H15">
        <v>4226.8100000000004</v>
      </c>
    </row>
    <row r="16" spans="1:8" x14ac:dyDescent="0.2">
      <c r="A16" s="2">
        <v>44577</v>
      </c>
      <c r="B16">
        <v>80</v>
      </c>
      <c r="C16">
        <v>46</v>
      </c>
      <c r="D16">
        <v>56</v>
      </c>
      <c r="E16">
        <v>182</v>
      </c>
      <c r="F16">
        <v>95</v>
      </c>
      <c r="G16">
        <v>12.82</v>
      </c>
      <c r="H16">
        <v>2333.5700000000002</v>
      </c>
    </row>
    <row r="17" spans="1:8" x14ac:dyDescent="0.2">
      <c r="A17" s="2">
        <v>44578</v>
      </c>
      <c r="B17">
        <v>50</v>
      </c>
      <c r="C17">
        <v>25</v>
      </c>
      <c r="D17">
        <v>55</v>
      </c>
      <c r="E17">
        <v>130</v>
      </c>
      <c r="F17">
        <v>91</v>
      </c>
      <c r="G17">
        <v>20.85</v>
      </c>
      <c r="H17">
        <v>2710.56</v>
      </c>
    </row>
    <row r="18" spans="1:8" x14ac:dyDescent="0.2">
      <c r="A18" s="2">
        <v>44579</v>
      </c>
      <c r="B18">
        <v>47</v>
      </c>
      <c r="C18">
        <v>52</v>
      </c>
      <c r="D18">
        <v>49</v>
      </c>
      <c r="E18">
        <v>148</v>
      </c>
      <c r="F18">
        <v>101</v>
      </c>
      <c r="G18">
        <v>14.59</v>
      </c>
      <c r="H18">
        <v>2159.15</v>
      </c>
    </row>
    <row r="19" spans="1:8" x14ac:dyDescent="0.2">
      <c r="A19" s="2">
        <v>44580</v>
      </c>
      <c r="B19">
        <v>56</v>
      </c>
      <c r="C19">
        <v>31</v>
      </c>
      <c r="D19">
        <v>62</v>
      </c>
      <c r="E19">
        <v>151</v>
      </c>
      <c r="F19">
        <v>94</v>
      </c>
      <c r="G19">
        <v>24.04</v>
      </c>
      <c r="H19">
        <v>3629.39</v>
      </c>
    </row>
    <row r="20" spans="1:8" x14ac:dyDescent="0.2">
      <c r="A20" s="2">
        <v>44581</v>
      </c>
      <c r="B20">
        <v>94</v>
      </c>
      <c r="C20">
        <v>50</v>
      </c>
      <c r="D20">
        <v>40</v>
      </c>
      <c r="E20">
        <v>185</v>
      </c>
      <c r="F20">
        <v>105</v>
      </c>
      <c r="G20">
        <v>18.98</v>
      </c>
      <c r="H20">
        <v>3511.6</v>
      </c>
    </row>
    <row r="21" spans="1:8" x14ac:dyDescent="0.2">
      <c r="A21" s="2">
        <v>44582</v>
      </c>
      <c r="B21">
        <v>176</v>
      </c>
      <c r="C21">
        <v>22</v>
      </c>
      <c r="D21">
        <v>57</v>
      </c>
      <c r="E21">
        <v>259</v>
      </c>
      <c r="F21">
        <v>102</v>
      </c>
      <c r="G21">
        <v>25.2</v>
      </c>
      <c r="H21">
        <v>6525.95</v>
      </c>
    </row>
    <row r="22" spans="1:8" x14ac:dyDescent="0.2">
      <c r="A22" s="2">
        <v>44583</v>
      </c>
      <c r="B22">
        <v>293</v>
      </c>
      <c r="C22">
        <v>50</v>
      </c>
      <c r="D22">
        <v>27</v>
      </c>
      <c r="E22">
        <v>370</v>
      </c>
      <c r="F22">
        <v>105</v>
      </c>
      <c r="G22">
        <v>18.8</v>
      </c>
      <c r="H22">
        <v>6954.95</v>
      </c>
    </row>
    <row r="23" spans="1:8" x14ac:dyDescent="0.2">
      <c r="A23" s="2">
        <v>44584</v>
      </c>
      <c r="B23">
        <v>94</v>
      </c>
      <c r="C23">
        <v>26</v>
      </c>
      <c r="D23">
        <v>76</v>
      </c>
      <c r="E23">
        <v>196</v>
      </c>
      <c r="F23">
        <v>95</v>
      </c>
      <c r="G23">
        <v>7.41</v>
      </c>
      <c r="H23">
        <v>1452.75</v>
      </c>
    </row>
    <row r="24" spans="1:8" x14ac:dyDescent="0.2">
      <c r="A24" s="2">
        <v>44585</v>
      </c>
      <c r="B24">
        <v>36</v>
      </c>
      <c r="C24">
        <v>37</v>
      </c>
      <c r="D24">
        <v>62</v>
      </c>
      <c r="E24">
        <v>135</v>
      </c>
      <c r="F24">
        <v>99</v>
      </c>
      <c r="G24">
        <v>16.88</v>
      </c>
      <c r="H24">
        <v>2278.9</v>
      </c>
    </row>
    <row r="25" spans="1:8" x14ac:dyDescent="0.2">
      <c r="A25" s="2">
        <v>44586</v>
      </c>
      <c r="B25">
        <v>27</v>
      </c>
      <c r="C25">
        <v>20</v>
      </c>
      <c r="D25">
        <v>65</v>
      </c>
      <c r="E25">
        <v>112</v>
      </c>
      <c r="F25">
        <v>94</v>
      </c>
      <c r="G25">
        <v>20.28</v>
      </c>
      <c r="H25">
        <v>2271.8000000000002</v>
      </c>
    </row>
    <row r="26" spans="1:8" x14ac:dyDescent="0.2">
      <c r="A26" s="2">
        <v>44587</v>
      </c>
      <c r="B26">
        <v>37</v>
      </c>
      <c r="C26">
        <v>12</v>
      </c>
      <c r="D26">
        <v>72</v>
      </c>
      <c r="E26">
        <v>121</v>
      </c>
      <c r="F26">
        <v>89</v>
      </c>
      <c r="G26">
        <v>25.56</v>
      </c>
      <c r="H26">
        <v>3092.84</v>
      </c>
    </row>
    <row r="27" spans="1:8" x14ac:dyDescent="0.2">
      <c r="A27" s="2">
        <v>44588</v>
      </c>
      <c r="B27">
        <v>67</v>
      </c>
      <c r="C27">
        <v>34</v>
      </c>
      <c r="D27">
        <v>63</v>
      </c>
      <c r="E27">
        <v>164</v>
      </c>
      <c r="F27">
        <v>90</v>
      </c>
      <c r="G27">
        <v>23.71</v>
      </c>
      <c r="H27">
        <v>3887.97</v>
      </c>
    </row>
    <row r="28" spans="1:8" x14ac:dyDescent="0.2">
      <c r="A28" s="2">
        <v>44589</v>
      </c>
      <c r="B28">
        <v>163</v>
      </c>
      <c r="C28">
        <v>25</v>
      </c>
      <c r="D28">
        <v>81</v>
      </c>
      <c r="E28">
        <v>269</v>
      </c>
      <c r="F28">
        <v>94</v>
      </c>
      <c r="G28">
        <v>24.29</v>
      </c>
      <c r="H28">
        <v>6533.92</v>
      </c>
    </row>
    <row r="29" spans="1:8" x14ac:dyDescent="0.2">
      <c r="A29" s="2">
        <v>44590</v>
      </c>
      <c r="B29">
        <v>259</v>
      </c>
      <c r="C29">
        <v>50</v>
      </c>
      <c r="D29">
        <v>46</v>
      </c>
      <c r="E29">
        <v>355</v>
      </c>
      <c r="F29">
        <v>94</v>
      </c>
      <c r="G29">
        <v>17.690000000000001</v>
      </c>
      <c r="H29">
        <v>6279.51</v>
      </c>
    </row>
    <row r="30" spans="1:8" x14ac:dyDescent="0.2">
      <c r="A30" s="2">
        <v>44591</v>
      </c>
      <c r="B30">
        <v>64</v>
      </c>
      <c r="C30">
        <v>60</v>
      </c>
      <c r="D30">
        <v>70</v>
      </c>
      <c r="E30">
        <v>194</v>
      </c>
      <c r="F30">
        <v>102</v>
      </c>
      <c r="G30">
        <v>10.23</v>
      </c>
      <c r="H30">
        <v>1984.39</v>
      </c>
    </row>
    <row r="31" spans="1:8" x14ac:dyDescent="0.2">
      <c r="A31" s="2">
        <v>44592</v>
      </c>
      <c r="B31">
        <v>47</v>
      </c>
      <c r="C31">
        <v>18</v>
      </c>
      <c r="D31">
        <v>57</v>
      </c>
      <c r="E31">
        <v>122</v>
      </c>
      <c r="F31">
        <v>88</v>
      </c>
      <c r="G31">
        <v>22.48</v>
      </c>
      <c r="H31">
        <v>2742.13</v>
      </c>
    </row>
    <row r="32" spans="1:8" x14ac:dyDescent="0.2">
      <c r="A32" s="2">
        <v>44593</v>
      </c>
      <c r="B32">
        <v>60</v>
      </c>
      <c r="C32">
        <v>27</v>
      </c>
      <c r="D32">
        <v>42</v>
      </c>
      <c r="E32">
        <v>129</v>
      </c>
      <c r="F32">
        <v>85</v>
      </c>
      <c r="G32">
        <v>17.489999999999998</v>
      </c>
      <c r="H32">
        <v>2256.2600000000002</v>
      </c>
    </row>
    <row r="33" spans="1:8" x14ac:dyDescent="0.2">
      <c r="A33" s="2">
        <v>44594</v>
      </c>
      <c r="B33">
        <v>63</v>
      </c>
      <c r="C33">
        <v>33</v>
      </c>
      <c r="D33">
        <v>46</v>
      </c>
      <c r="E33">
        <v>142</v>
      </c>
      <c r="F33">
        <v>96</v>
      </c>
      <c r="G33">
        <v>20.04</v>
      </c>
      <c r="H33">
        <v>2845.32</v>
      </c>
    </row>
    <row r="34" spans="1:8" x14ac:dyDescent="0.2">
      <c r="A34" s="2">
        <v>44595</v>
      </c>
      <c r="B34">
        <v>70</v>
      </c>
      <c r="C34">
        <v>43</v>
      </c>
      <c r="D34">
        <v>60</v>
      </c>
      <c r="E34">
        <v>173</v>
      </c>
      <c r="F34">
        <v>106</v>
      </c>
      <c r="G34">
        <v>20.83</v>
      </c>
      <c r="H34">
        <v>3603.96</v>
      </c>
    </row>
    <row r="35" spans="1:8" x14ac:dyDescent="0.2">
      <c r="A35" s="2">
        <v>44596</v>
      </c>
      <c r="B35">
        <v>161</v>
      </c>
      <c r="C35">
        <v>50</v>
      </c>
      <c r="D35">
        <v>73</v>
      </c>
      <c r="E35">
        <v>284</v>
      </c>
      <c r="F35">
        <v>98</v>
      </c>
      <c r="G35">
        <v>24.07</v>
      </c>
      <c r="H35">
        <v>6835.35</v>
      </c>
    </row>
    <row r="36" spans="1:8" x14ac:dyDescent="0.2">
      <c r="A36" s="2">
        <v>44597</v>
      </c>
      <c r="B36">
        <v>265</v>
      </c>
      <c r="C36">
        <v>57</v>
      </c>
      <c r="D36">
        <v>46</v>
      </c>
      <c r="E36">
        <v>368</v>
      </c>
      <c r="F36">
        <v>98</v>
      </c>
      <c r="G36">
        <v>22.76</v>
      </c>
      <c r="H36">
        <v>8374.52</v>
      </c>
    </row>
    <row r="37" spans="1:8" x14ac:dyDescent="0.2">
      <c r="A37" s="2">
        <v>44598</v>
      </c>
      <c r="B37">
        <v>101</v>
      </c>
      <c r="C37">
        <v>34</v>
      </c>
      <c r="D37">
        <v>72</v>
      </c>
      <c r="E37">
        <v>207</v>
      </c>
      <c r="F37">
        <v>89</v>
      </c>
      <c r="G37">
        <v>14.47</v>
      </c>
      <c r="H37">
        <v>2995.68</v>
      </c>
    </row>
    <row r="38" spans="1:8" x14ac:dyDescent="0.2">
      <c r="A38" s="2">
        <v>44599</v>
      </c>
      <c r="B38">
        <v>46</v>
      </c>
      <c r="C38">
        <v>12</v>
      </c>
      <c r="D38">
        <v>74</v>
      </c>
      <c r="E38">
        <v>132</v>
      </c>
      <c r="F38">
        <v>97</v>
      </c>
      <c r="G38">
        <v>19.2</v>
      </c>
      <c r="H38">
        <v>2533.8000000000002</v>
      </c>
    </row>
    <row r="39" spans="1:8" x14ac:dyDescent="0.2">
      <c r="A39" s="2">
        <v>44600</v>
      </c>
      <c r="B39">
        <v>65</v>
      </c>
      <c r="C39">
        <v>26</v>
      </c>
      <c r="D39">
        <v>62</v>
      </c>
      <c r="E39">
        <v>153</v>
      </c>
      <c r="F39">
        <v>97</v>
      </c>
      <c r="G39">
        <v>21.29</v>
      </c>
      <c r="H39">
        <v>3257.72</v>
      </c>
    </row>
    <row r="40" spans="1:8" x14ac:dyDescent="0.2">
      <c r="A40" s="2">
        <v>44601</v>
      </c>
      <c r="B40">
        <v>54</v>
      </c>
      <c r="C40">
        <v>18</v>
      </c>
      <c r="D40">
        <v>60</v>
      </c>
      <c r="E40">
        <v>132</v>
      </c>
      <c r="F40">
        <v>84</v>
      </c>
      <c r="G40">
        <v>26.45</v>
      </c>
      <c r="H40">
        <v>3490.9</v>
      </c>
    </row>
    <row r="41" spans="1:8" x14ac:dyDescent="0.2">
      <c r="A41" s="2">
        <v>44602</v>
      </c>
      <c r="B41">
        <v>95</v>
      </c>
      <c r="C41">
        <v>25</v>
      </c>
      <c r="D41">
        <v>56</v>
      </c>
      <c r="E41">
        <v>176</v>
      </c>
      <c r="F41">
        <v>96</v>
      </c>
      <c r="G41">
        <v>26.89</v>
      </c>
      <c r="H41">
        <v>4731.76</v>
      </c>
    </row>
    <row r="42" spans="1:8" x14ac:dyDescent="0.2">
      <c r="A42" s="2">
        <v>44603</v>
      </c>
      <c r="B42">
        <v>161</v>
      </c>
      <c r="C42">
        <v>15</v>
      </c>
      <c r="D42">
        <v>39</v>
      </c>
      <c r="E42">
        <v>215</v>
      </c>
      <c r="F42">
        <v>103</v>
      </c>
      <c r="G42">
        <v>8.89</v>
      </c>
      <c r="H42">
        <v>1910.72</v>
      </c>
    </row>
    <row r="43" spans="1:8" x14ac:dyDescent="0.2">
      <c r="A43" s="2">
        <v>44604</v>
      </c>
      <c r="B43">
        <v>336</v>
      </c>
      <c r="C43">
        <v>38</v>
      </c>
      <c r="D43">
        <v>36</v>
      </c>
      <c r="E43">
        <v>410</v>
      </c>
      <c r="F43">
        <v>106</v>
      </c>
      <c r="G43">
        <v>19.690000000000001</v>
      </c>
      <c r="H43">
        <v>8074.07</v>
      </c>
    </row>
    <row r="44" spans="1:8" x14ac:dyDescent="0.2">
      <c r="A44" s="2">
        <v>44605</v>
      </c>
      <c r="B44">
        <v>143</v>
      </c>
      <c r="C44">
        <v>41</v>
      </c>
      <c r="D44">
        <v>65</v>
      </c>
      <c r="E44">
        <v>249</v>
      </c>
      <c r="F44">
        <v>94</v>
      </c>
      <c r="G44">
        <v>23.9</v>
      </c>
      <c r="H44">
        <v>5952.3</v>
      </c>
    </row>
    <row r="45" spans="1:8" x14ac:dyDescent="0.2">
      <c r="A45" s="2">
        <v>44606</v>
      </c>
      <c r="B45">
        <v>195</v>
      </c>
      <c r="C45">
        <v>25</v>
      </c>
      <c r="D45">
        <v>52</v>
      </c>
      <c r="E45">
        <v>272</v>
      </c>
      <c r="F45">
        <v>92</v>
      </c>
      <c r="G45">
        <v>23.75</v>
      </c>
      <c r="H45">
        <v>6460.14</v>
      </c>
    </row>
    <row r="46" spans="1:8" x14ac:dyDescent="0.2">
      <c r="A46" s="2">
        <v>44607</v>
      </c>
      <c r="B46">
        <v>80</v>
      </c>
      <c r="C46">
        <v>68</v>
      </c>
      <c r="D46">
        <v>29</v>
      </c>
      <c r="E46">
        <v>177</v>
      </c>
      <c r="F46">
        <v>100</v>
      </c>
      <c r="G46">
        <v>16.690000000000001</v>
      </c>
      <c r="H46">
        <v>2954.79</v>
      </c>
    </row>
    <row r="47" spans="1:8" x14ac:dyDescent="0.2">
      <c r="A47" s="2">
        <v>44608</v>
      </c>
      <c r="B47">
        <v>98</v>
      </c>
      <c r="C47">
        <v>32</v>
      </c>
      <c r="D47">
        <v>59</v>
      </c>
      <c r="E47">
        <v>189</v>
      </c>
      <c r="F47">
        <v>91</v>
      </c>
      <c r="G47">
        <v>29.11</v>
      </c>
      <c r="H47">
        <v>5501.68</v>
      </c>
    </row>
    <row r="48" spans="1:8" x14ac:dyDescent="0.2">
      <c r="A48" s="2">
        <v>44609</v>
      </c>
      <c r="B48">
        <v>93</v>
      </c>
      <c r="C48">
        <v>51</v>
      </c>
      <c r="D48">
        <v>62</v>
      </c>
      <c r="E48">
        <v>206</v>
      </c>
      <c r="F48">
        <v>98</v>
      </c>
      <c r="G48">
        <v>15.15</v>
      </c>
      <c r="H48">
        <v>3120.28</v>
      </c>
    </row>
    <row r="49" spans="1:8" x14ac:dyDescent="0.2">
      <c r="A49" s="2">
        <v>44610</v>
      </c>
      <c r="B49">
        <v>113</v>
      </c>
      <c r="C49">
        <v>31</v>
      </c>
      <c r="D49">
        <v>75</v>
      </c>
      <c r="E49">
        <v>219</v>
      </c>
      <c r="F49">
        <v>95</v>
      </c>
      <c r="G49">
        <v>15.46</v>
      </c>
      <c r="H49">
        <v>3385.04</v>
      </c>
    </row>
    <row r="50" spans="1:8" x14ac:dyDescent="0.2">
      <c r="A50" s="2">
        <v>44611</v>
      </c>
      <c r="B50">
        <v>275</v>
      </c>
      <c r="C50">
        <v>51</v>
      </c>
      <c r="D50">
        <v>60</v>
      </c>
      <c r="E50">
        <v>390</v>
      </c>
      <c r="F50">
        <v>98</v>
      </c>
      <c r="G50">
        <v>27.98</v>
      </c>
      <c r="H50">
        <v>10910.27</v>
      </c>
    </row>
    <row r="51" spans="1:8" x14ac:dyDescent="0.2">
      <c r="A51" s="2">
        <v>44612</v>
      </c>
      <c r="B51">
        <v>99</v>
      </c>
      <c r="C51">
        <v>51</v>
      </c>
      <c r="D51">
        <v>72</v>
      </c>
      <c r="E51">
        <v>222</v>
      </c>
      <c r="F51">
        <v>97</v>
      </c>
      <c r="G51">
        <v>4.3</v>
      </c>
      <c r="H51">
        <v>955.01</v>
      </c>
    </row>
    <row r="52" spans="1:8" x14ac:dyDescent="0.2">
      <c r="A52" s="2">
        <v>44613</v>
      </c>
      <c r="B52">
        <v>87</v>
      </c>
      <c r="C52">
        <v>70</v>
      </c>
      <c r="D52">
        <v>69</v>
      </c>
      <c r="E52">
        <v>226</v>
      </c>
      <c r="F52">
        <v>94</v>
      </c>
      <c r="G52">
        <v>23.1</v>
      </c>
      <c r="H52">
        <v>5220.3</v>
      </c>
    </row>
    <row r="53" spans="1:8" x14ac:dyDescent="0.2">
      <c r="A53" s="2">
        <v>44614</v>
      </c>
      <c r="B53">
        <v>54</v>
      </c>
      <c r="C53">
        <v>85</v>
      </c>
      <c r="D53">
        <v>54</v>
      </c>
      <c r="E53">
        <v>193</v>
      </c>
      <c r="F53">
        <v>88</v>
      </c>
      <c r="G53">
        <v>18.86</v>
      </c>
      <c r="H53">
        <v>3639.62</v>
      </c>
    </row>
    <row r="54" spans="1:8" x14ac:dyDescent="0.2">
      <c r="A54" s="2">
        <v>44615</v>
      </c>
      <c r="B54">
        <v>104</v>
      </c>
      <c r="C54">
        <v>60</v>
      </c>
      <c r="D54">
        <v>71</v>
      </c>
      <c r="E54">
        <v>235</v>
      </c>
      <c r="F54">
        <v>94</v>
      </c>
      <c r="G54">
        <v>29.22</v>
      </c>
      <c r="H54">
        <v>6866.97</v>
      </c>
    </row>
    <row r="55" spans="1:8" x14ac:dyDescent="0.2">
      <c r="A55" s="2">
        <v>44616</v>
      </c>
      <c r="B55">
        <v>108</v>
      </c>
      <c r="C55">
        <v>24</v>
      </c>
      <c r="D55">
        <v>63</v>
      </c>
      <c r="E55">
        <v>197</v>
      </c>
      <c r="F55">
        <v>92</v>
      </c>
      <c r="G55">
        <v>29.53</v>
      </c>
      <c r="H55">
        <v>5816.76</v>
      </c>
    </row>
    <row r="56" spans="1:8" x14ac:dyDescent="0.2">
      <c r="A56" s="2">
        <v>44617</v>
      </c>
      <c r="B56">
        <v>184</v>
      </c>
      <c r="C56">
        <v>61</v>
      </c>
      <c r="D56">
        <v>62</v>
      </c>
      <c r="E56">
        <v>307</v>
      </c>
      <c r="F56">
        <v>100</v>
      </c>
      <c r="G56">
        <v>27.81</v>
      </c>
      <c r="H56">
        <v>8539.19</v>
      </c>
    </row>
    <row r="57" spans="1:8" x14ac:dyDescent="0.2">
      <c r="A57" s="2">
        <v>44618</v>
      </c>
      <c r="B57">
        <v>282</v>
      </c>
      <c r="C57">
        <v>61</v>
      </c>
      <c r="D57">
        <v>81</v>
      </c>
      <c r="E57">
        <v>424</v>
      </c>
      <c r="F57">
        <v>100</v>
      </c>
      <c r="G57">
        <v>27.88</v>
      </c>
      <c r="H57">
        <v>11819.72</v>
      </c>
    </row>
    <row r="58" spans="1:8" x14ac:dyDescent="0.2">
      <c r="A58" s="2">
        <v>44619</v>
      </c>
      <c r="B58">
        <v>70</v>
      </c>
      <c r="C58">
        <v>34</v>
      </c>
      <c r="D58">
        <v>77</v>
      </c>
      <c r="E58">
        <v>181</v>
      </c>
      <c r="F58">
        <v>95</v>
      </c>
      <c r="G58">
        <v>9.48</v>
      </c>
      <c r="H58">
        <v>1715.18</v>
      </c>
    </row>
    <row r="59" spans="1:8" x14ac:dyDescent="0.2">
      <c r="A59" s="2">
        <v>44620</v>
      </c>
      <c r="B59">
        <v>49</v>
      </c>
      <c r="C59">
        <v>17</v>
      </c>
      <c r="D59">
        <v>72</v>
      </c>
      <c r="E59">
        <v>138</v>
      </c>
      <c r="F59">
        <v>84</v>
      </c>
      <c r="G59">
        <v>29.69</v>
      </c>
      <c r="H59">
        <v>4097.72</v>
      </c>
    </row>
    <row r="60" spans="1:8" x14ac:dyDescent="0.2">
      <c r="A60" s="2">
        <v>44621</v>
      </c>
      <c r="B60">
        <v>55</v>
      </c>
      <c r="C60">
        <v>6</v>
      </c>
      <c r="D60">
        <v>77</v>
      </c>
      <c r="E60">
        <v>138</v>
      </c>
      <c r="F60">
        <v>89</v>
      </c>
      <c r="G60">
        <v>22.16</v>
      </c>
      <c r="H60">
        <v>3058.52</v>
      </c>
    </row>
    <row r="61" spans="1:8" x14ac:dyDescent="0.2">
      <c r="A61" s="2">
        <v>44622</v>
      </c>
      <c r="B61">
        <v>85</v>
      </c>
      <c r="C61">
        <v>23</v>
      </c>
      <c r="D61">
        <v>52</v>
      </c>
      <c r="E61">
        <v>160</v>
      </c>
      <c r="F61">
        <v>98</v>
      </c>
      <c r="G61">
        <v>26.37</v>
      </c>
      <c r="H61">
        <v>4218.93</v>
      </c>
    </row>
    <row r="62" spans="1:8" x14ac:dyDescent="0.2">
      <c r="A62" s="2">
        <v>44623</v>
      </c>
      <c r="B62">
        <v>70</v>
      </c>
      <c r="C62">
        <v>25</v>
      </c>
      <c r="D62">
        <v>48</v>
      </c>
      <c r="E62">
        <v>143</v>
      </c>
      <c r="F62">
        <v>94</v>
      </c>
      <c r="G62">
        <v>30.22</v>
      </c>
      <c r="H62">
        <v>4320.91</v>
      </c>
    </row>
    <row r="63" spans="1:8" x14ac:dyDescent="0.2">
      <c r="A63" s="2">
        <v>44624</v>
      </c>
      <c r="B63">
        <v>141</v>
      </c>
      <c r="C63">
        <v>25</v>
      </c>
      <c r="D63">
        <v>53</v>
      </c>
      <c r="E63">
        <v>219</v>
      </c>
      <c r="F63">
        <v>99</v>
      </c>
      <c r="G63">
        <v>27.09</v>
      </c>
      <c r="H63">
        <v>5933.54</v>
      </c>
    </row>
    <row r="64" spans="1:8" x14ac:dyDescent="0.2">
      <c r="A64" s="2">
        <v>44625</v>
      </c>
      <c r="B64">
        <v>320</v>
      </c>
      <c r="C64">
        <v>55</v>
      </c>
      <c r="D64">
        <v>46</v>
      </c>
      <c r="E64">
        <v>421</v>
      </c>
      <c r="F64">
        <v>99</v>
      </c>
      <c r="G64">
        <v>14.02</v>
      </c>
      <c r="H64">
        <v>5901.25</v>
      </c>
    </row>
    <row r="65" spans="1:8" x14ac:dyDescent="0.2">
      <c r="A65" s="2">
        <v>44626</v>
      </c>
      <c r="B65">
        <v>75</v>
      </c>
      <c r="C65">
        <v>46</v>
      </c>
      <c r="D65">
        <v>73</v>
      </c>
      <c r="E65">
        <v>194</v>
      </c>
      <c r="F65">
        <v>94</v>
      </c>
      <c r="G65">
        <v>16.27</v>
      </c>
      <c r="H65">
        <v>3157.21</v>
      </c>
    </row>
    <row r="66" spans="1:8" x14ac:dyDescent="0.2">
      <c r="A66" s="2">
        <v>44627</v>
      </c>
      <c r="B66">
        <v>92</v>
      </c>
      <c r="C66">
        <v>49</v>
      </c>
      <c r="D66">
        <v>44</v>
      </c>
      <c r="E66">
        <v>185</v>
      </c>
      <c r="F66">
        <v>101</v>
      </c>
      <c r="G66">
        <v>7.22</v>
      </c>
      <c r="H66">
        <v>1335.98</v>
      </c>
    </row>
    <row r="67" spans="1:8" x14ac:dyDescent="0.2">
      <c r="A67" s="2">
        <v>44628</v>
      </c>
      <c r="B67">
        <v>164</v>
      </c>
      <c r="C67">
        <v>42</v>
      </c>
      <c r="D67">
        <v>46</v>
      </c>
      <c r="E67">
        <v>252</v>
      </c>
      <c r="F67">
        <v>93</v>
      </c>
      <c r="G67">
        <v>17.21</v>
      </c>
      <c r="H67">
        <v>4337.63</v>
      </c>
    </row>
    <row r="68" spans="1:8" x14ac:dyDescent="0.2">
      <c r="A68" s="2">
        <v>44629</v>
      </c>
      <c r="B68">
        <v>222</v>
      </c>
      <c r="C68">
        <v>30</v>
      </c>
      <c r="D68">
        <v>35</v>
      </c>
      <c r="E68">
        <v>287</v>
      </c>
      <c r="F68">
        <v>105</v>
      </c>
      <c r="G68">
        <v>8.59</v>
      </c>
      <c r="H68">
        <v>2466.3200000000002</v>
      </c>
    </row>
    <row r="69" spans="1:8" x14ac:dyDescent="0.2">
      <c r="A69" s="2">
        <v>44630</v>
      </c>
      <c r="B69">
        <v>166</v>
      </c>
      <c r="C69">
        <v>24</v>
      </c>
      <c r="D69">
        <v>28</v>
      </c>
      <c r="E69">
        <v>218</v>
      </c>
      <c r="F69">
        <v>102</v>
      </c>
      <c r="G69">
        <v>15.2</v>
      </c>
      <c r="H69">
        <v>3312.63</v>
      </c>
    </row>
    <row r="70" spans="1:8" x14ac:dyDescent="0.2">
      <c r="A70" s="2">
        <v>44631</v>
      </c>
      <c r="B70">
        <v>189</v>
      </c>
      <c r="C70">
        <v>48</v>
      </c>
      <c r="D70">
        <v>31</v>
      </c>
      <c r="E70">
        <v>268</v>
      </c>
      <c r="F70">
        <v>98</v>
      </c>
      <c r="G70">
        <v>22.89</v>
      </c>
      <c r="H70">
        <v>6134.98</v>
      </c>
    </row>
    <row r="71" spans="1:8" x14ac:dyDescent="0.2">
      <c r="A71" s="2">
        <v>44632</v>
      </c>
      <c r="B71">
        <v>311</v>
      </c>
      <c r="C71">
        <v>42</v>
      </c>
      <c r="D71">
        <v>37</v>
      </c>
      <c r="E71">
        <v>390</v>
      </c>
      <c r="F71">
        <v>102</v>
      </c>
      <c r="G71">
        <v>23.9</v>
      </c>
      <c r="H71">
        <v>9319.1</v>
      </c>
    </row>
    <row r="72" spans="1:8" x14ac:dyDescent="0.2">
      <c r="A72" s="2">
        <v>44633</v>
      </c>
      <c r="B72">
        <v>202</v>
      </c>
      <c r="C72">
        <v>74</v>
      </c>
      <c r="D72">
        <v>42</v>
      </c>
      <c r="E72">
        <v>318</v>
      </c>
      <c r="F72">
        <v>87</v>
      </c>
      <c r="G72">
        <v>16.510000000000002</v>
      </c>
      <c r="H72">
        <v>5251.46</v>
      </c>
    </row>
    <row r="73" spans="1:8" x14ac:dyDescent="0.2">
      <c r="A73" s="2">
        <v>44634</v>
      </c>
      <c r="B73">
        <v>39</v>
      </c>
      <c r="C73">
        <v>20</v>
      </c>
      <c r="D73">
        <v>57</v>
      </c>
      <c r="E73">
        <v>116</v>
      </c>
      <c r="F73">
        <v>94</v>
      </c>
      <c r="G73">
        <v>21.36</v>
      </c>
      <c r="H73">
        <v>2477.6999999999998</v>
      </c>
    </row>
    <row r="74" spans="1:8" x14ac:dyDescent="0.2">
      <c r="A74" s="2">
        <v>44635</v>
      </c>
      <c r="B74">
        <v>37</v>
      </c>
      <c r="C74">
        <v>14</v>
      </c>
      <c r="D74">
        <v>62</v>
      </c>
      <c r="E74">
        <v>113</v>
      </c>
      <c r="F74">
        <v>88</v>
      </c>
      <c r="G74">
        <v>25.51</v>
      </c>
      <c r="H74">
        <v>2882.65</v>
      </c>
    </row>
    <row r="75" spans="1:8" x14ac:dyDescent="0.2">
      <c r="A75" s="2">
        <v>44636</v>
      </c>
      <c r="B75">
        <v>62</v>
      </c>
      <c r="C75">
        <v>12</v>
      </c>
      <c r="D75">
        <v>38</v>
      </c>
      <c r="E75">
        <v>112</v>
      </c>
      <c r="F75">
        <v>101</v>
      </c>
      <c r="G75">
        <v>32.03</v>
      </c>
      <c r="H75">
        <v>3586.81</v>
      </c>
    </row>
    <row r="76" spans="1:8" x14ac:dyDescent="0.2">
      <c r="A76" s="2">
        <v>44637</v>
      </c>
      <c r="B76">
        <v>66</v>
      </c>
      <c r="C76">
        <v>25</v>
      </c>
      <c r="D76">
        <v>33</v>
      </c>
      <c r="E76">
        <v>124</v>
      </c>
      <c r="F76">
        <v>100</v>
      </c>
      <c r="G76">
        <v>29.45</v>
      </c>
      <c r="H76">
        <v>3652.31</v>
      </c>
    </row>
    <row r="77" spans="1:8" x14ac:dyDescent="0.2">
      <c r="A77" s="2">
        <v>44638</v>
      </c>
      <c r="B77">
        <v>181</v>
      </c>
      <c r="C77">
        <v>29</v>
      </c>
      <c r="D77">
        <v>53</v>
      </c>
      <c r="E77">
        <v>263</v>
      </c>
      <c r="F77">
        <v>94</v>
      </c>
      <c r="G77">
        <v>10.84</v>
      </c>
      <c r="H77">
        <v>2851.04</v>
      </c>
    </row>
    <row r="78" spans="1:8" x14ac:dyDescent="0.2">
      <c r="A78" s="2">
        <v>44639</v>
      </c>
      <c r="B78">
        <v>265</v>
      </c>
      <c r="C78">
        <v>47</v>
      </c>
      <c r="D78">
        <v>90</v>
      </c>
      <c r="E78">
        <v>402</v>
      </c>
      <c r="F78">
        <v>99</v>
      </c>
      <c r="G78">
        <v>24.97</v>
      </c>
      <c r="H78">
        <v>10038.64</v>
      </c>
    </row>
    <row r="79" spans="1:8" x14ac:dyDescent="0.2">
      <c r="A79" s="2">
        <v>44640</v>
      </c>
      <c r="B79">
        <v>94</v>
      </c>
      <c r="C79">
        <v>51</v>
      </c>
      <c r="D79">
        <v>80</v>
      </c>
      <c r="E79">
        <v>225</v>
      </c>
      <c r="F79">
        <v>89</v>
      </c>
      <c r="G79">
        <v>28.6</v>
      </c>
      <c r="H79">
        <v>6434.51</v>
      </c>
    </row>
    <row r="80" spans="1:8" x14ac:dyDescent="0.2">
      <c r="A80" s="2">
        <v>44641</v>
      </c>
      <c r="B80">
        <v>21</v>
      </c>
      <c r="C80">
        <v>4</v>
      </c>
      <c r="D80">
        <v>31</v>
      </c>
      <c r="E80">
        <v>56</v>
      </c>
      <c r="F80">
        <v>84</v>
      </c>
      <c r="G80">
        <v>28.61</v>
      </c>
      <c r="H80">
        <v>1601.9</v>
      </c>
    </row>
    <row r="81" spans="1:8" x14ac:dyDescent="0.2">
      <c r="A81" s="2">
        <v>44642</v>
      </c>
      <c r="B81">
        <v>36</v>
      </c>
      <c r="C81">
        <v>56</v>
      </c>
      <c r="D81">
        <v>56</v>
      </c>
      <c r="E81">
        <v>148</v>
      </c>
      <c r="F81">
        <v>90</v>
      </c>
      <c r="G81">
        <v>23.76</v>
      </c>
      <c r="H81">
        <v>3517.22</v>
      </c>
    </row>
    <row r="82" spans="1:8" x14ac:dyDescent="0.2">
      <c r="A82" s="2">
        <v>44643</v>
      </c>
      <c r="B82">
        <v>59</v>
      </c>
      <c r="C82">
        <v>25</v>
      </c>
      <c r="D82">
        <v>85</v>
      </c>
      <c r="E82">
        <v>169</v>
      </c>
      <c r="F82">
        <v>83</v>
      </c>
      <c r="G82">
        <v>26.93</v>
      </c>
      <c r="H82">
        <v>4551.5600000000004</v>
      </c>
    </row>
    <row r="83" spans="1:8" x14ac:dyDescent="0.2">
      <c r="A83" s="2">
        <v>44644</v>
      </c>
      <c r="B83">
        <v>64</v>
      </c>
      <c r="C83">
        <v>35</v>
      </c>
      <c r="D83">
        <v>42</v>
      </c>
      <c r="E83">
        <v>141</v>
      </c>
      <c r="F83">
        <v>94</v>
      </c>
      <c r="G83">
        <v>30.2</v>
      </c>
      <c r="H83">
        <v>4258.28</v>
      </c>
    </row>
    <row r="84" spans="1:8" x14ac:dyDescent="0.2">
      <c r="A84" s="2">
        <v>44645</v>
      </c>
      <c r="B84">
        <v>170</v>
      </c>
      <c r="C84">
        <v>32</v>
      </c>
      <c r="D84">
        <v>56</v>
      </c>
      <c r="E84">
        <v>258</v>
      </c>
      <c r="F84">
        <v>99</v>
      </c>
      <c r="G84">
        <v>16.260000000000002</v>
      </c>
      <c r="H84">
        <v>4194.6899999999996</v>
      </c>
    </row>
    <row r="85" spans="1:8" x14ac:dyDescent="0.2">
      <c r="A85" s="2">
        <v>44646</v>
      </c>
      <c r="B85">
        <v>318</v>
      </c>
      <c r="C85">
        <v>33</v>
      </c>
      <c r="D85">
        <v>58</v>
      </c>
      <c r="E85">
        <v>409</v>
      </c>
      <c r="F85">
        <v>98</v>
      </c>
      <c r="G85">
        <v>13.16</v>
      </c>
      <c r="H85">
        <v>5382.06</v>
      </c>
    </row>
    <row r="86" spans="1:8" x14ac:dyDescent="0.2">
      <c r="A86" s="2">
        <v>44647</v>
      </c>
      <c r="B86">
        <v>195</v>
      </c>
      <c r="C86">
        <v>98</v>
      </c>
      <c r="D86">
        <v>5</v>
      </c>
      <c r="E86">
        <v>298</v>
      </c>
      <c r="F86">
        <v>97</v>
      </c>
      <c r="G86">
        <v>25.72</v>
      </c>
      <c r="H86">
        <v>7663.43</v>
      </c>
    </row>
    <row r="87" spans="1:8" x14ac:dyDescent="0.2">
      <c r="A87" s="2">
        <v>44648</v>
      </c>
      <c r="B87">
        <v>55</v>
      </c>
      <c r="C87">
        <v>89</v>
      </c>
      <c r="D87">
        <v>10</v>
      </c>
      <c r="E87">
        <v>154</v>
      </c>
      <c r="F87">
        <v>99</v>
      </c>
      <c r="G87">
        <v>26.81</v>
      </c>
      <c r="H87">
        <v>4128.91</v>
      </c>
    </row>
    <row r="88" spans="1:8" x14ac:dyDescent="0.2">
      <c r="A88" s="2">
        <v>44649</v>
      </c>
      <c r="B88">
        <v>64</v>
      </c>
      <c r="C88">
        <v>83</v>
      </c>
      <c r="D88">
        <v>13</v>
      </c>
      <c r="E88">
        <v>160</v>
      </c>
      <c r="F88">
        <v>87</v>
      </c>
      <c r="G88">
        <v>24.52</v>
      </c>
      <c r="H88">
        <v>3923.91</v>
      </c>
    </row>
    <row r="89" spans="1:8" x14ac:dyDescent="0.2">
      <c r="A89" s="2">
        <v>44650</v>
      </c>
      <c r="B89">
        <v>42</v>
      </c>
      <c r="C89">
        <v>122</v>
      </c>
      <c r="D89">
        <v>5</v>
      </c>
      <c r="E89">
        <v>169</v>
      </c>
      <c r="F89">
        <v>89</v>
      </c>
      <c r="G89">
        <v>30.54</v>
      </c>
      <c r="H89">
        <v>5161.63</v>
      </c>
    </row>
    <row r="90" spans="1:8" x14ac:dyDescent="0.2">
      <c r="A90" s="2">
        <v>44651</v>
      </c>
      <c r="B90">
        <v>82</v>
      </c>
      <c r="C90">
        <v>39</v>
      </c>
      <c r="D90">
        <v>7</v>
      </c>
      <c r="E90">
        <v>128</v>
      </c>
      <c r="F90">
        <v>103</v>
      </c>
      <c r="G90">
        <v>31.31</v>
      </c>
      <c r="H90">
        <v>4007.31</v>
      </c>
    </row>
    <row r="91" spans="1:8" x14ac:dyDescent="0.2">
      <c r="A91" s="2">
        <v>44652</v>
      </c>
      <c r="B91">
        <v>173</v>
      </c>
      <c r="C91">
        <v>70</v>
      </c>
      <c r="D91">
        <v>22</v>
      </c>
      <c r="E91">
        <v>265</v>
      </c>
      <c r="F91">
        <v>95</v>
      </c>
      <c r="G91">
        <v>29.83</v>
      </c>
      <c r="H91">
        <v>7903.69</v>
      </c>
    </row>
    <row r="92" spans="1:8" x14ac:dyDescent="0.2">
      <c r="A92" s="2">
        <v>44653</v>
      </c>
      <c r="B92">
        <v>298</v>
      </c>
      <c r="C92">
        <v>99</v>
      </c>
      <c r="D92">
        <v>26</v>
      </c>
      <c r="E92">
        <v>423</v>
      </c>
      <c r="F92">
        <v>99</v>
      </c>
      <c r="G92">
        <v>29.97</v>
      </c>
      <c r="H92">
        <v>12675.63</v>
      </c>
    </row>
    <row r="93" spans="1:8" x14ac:dyDescent="0.2">
      <c r="A93" s="2">
        <v>44654</v>
      </c>
      <c r="B93">
        <v>66</v>
      </c>
      <c r="C93">
        <v>77</v>
      </c>
      <c r="D93">
        <v>52</v>
      </c>
      <c r="E93">
        <v>195</v>
      </c>
      <c r="F93">
        <v>106</v>
      </c>
      <c r="G93">
        <v>10.62</v>
      </c>
      <c r="H93">
        <v>2071.0500000000002</v>
      </c>
    </row>
    <row r="94" spans="1:8" x14ac:dyDescent="0.2">
      <c r="A94" s="2">
        <v>44655</v>
      </c>
      <c r="B94">
        <v>47</v>
      </c>
      <c r="C94">
        <v>91</v>
      </c>
      <c r="D94">
        <v>30</v>
      </c>
      <c r="E94">
        <v>168</v>
      </c>
      <c r="F94">
        <v>90</v>
      </c>
      <c r="G94">
        <v>19</v>
      </c>
      <c r="H94">
        <v>3191.86</v>
      </c>
    </row>
    <row r="95" spans="1:8" x14ac:dyDescent="0.2">
      <c r="A95" s="2">
        <v>44656</v>
      </c>
      <c r="B95">
        <v>66</v>
      </c>
      <c r="C95">
        <v>100</v>
      </c>
      <c r="D95">
        <v>23</v>
      </c>
      <c r="E95">
        <v>189</v>
      </c>
      <c r="F95">
        <v>102</v>
      </c>
      <c r="G95">
        <v>15.59</v>
      </c>
      <c r="H95">
        <v>2946.42</v>
      </c>
    </row>
    <row r="96" spans="1:8" x14ac:dyDescent="0.2">
      <c r="A96" s="2">
        <v>44657</v>
      </c>
      <c r="B96">
        <v>104</v>
      </c>
      <c r="C96">
        <v>84</v>
      </c>
      <c r="D96">
        <v>30</v>
      </c>
      <c r="E96">
        <v>218</v>
      </c>
      <c r="F96">
        <v>94</v>
      </c>
      <c r="G96">
        <v>26.8</v>
      </c>
      <c r="H96">
        <v>5841.61</v>
      </c>
    </row>
    <row r="97" spans="1:8" x14ac:dyDescent="0.2">
      <c r="A97" s="2">
        <v>44658</v>
      </c>
      <c r="B97">
        <v>119</v>
      </c>
      <c r="C97">
        <v>75</v>
      </c>
      <c r="D97">
        <v>17</v>
      </c>
      <c r="E97">
        <v>211</v>
      </c>
      <c r="F97">
        <v>108</v>
      </c>
      <c r="G97">
        <v>25.97</v>
      </c>
      <c r="H97">
        <v>5480.48</v>
      </c>
    </row>
    <row r="98" spans="1:8" x14ac:dyDescent="0.2">
      <c r="A98" s="2">
        <v>44659</v>
      </c>
      <c r="B98">
        <v>127</v>
      </c>
      <c r="C98">
        <v>114</v>
      </c>
      <c r="D98">
        <v>21</v>
      </c>
      <c r="E98">
        <v>262</v>
      </c>
      <c r="F98">
        <v>91</v>
      </c>
      <c r="G98">
        <v>28.62</v>
      </c>
      <c r="H98">
        <v>7499.56</v>
      </c>
    </row>
    <row r="99" spans="1:8" x14ac:dyDescent="0.2">
      <c r="A99" s="2">
        <v>44660</v>
      </c>
      <c r="B99">
        <v>287</v>
      </c>
      <c r="C99">
        <v>84</v>
      </c>
      <c r="D99">
        <v>17</v>
      </c>
      <c r="E99">
        <v>388</v>
      </c>
      <c r="F99">
        <v>98</v>
      </c>
      <c r="G99">
        <v>25.04</v>
      </c>
      <c r="H99">
        <v>9713.9</v>
      </c>
    </row>
    <row r="100" spans="1:8" x14ac:dyDescent="0.2">
      <c r="A100" s="2">
        <v>44661</v>
      </c>
      <c r="B100">
        <v>73</v>
      </c>
      <c r="C100">
        <v>130</v>
      </c>
      <c r="D100">
        <v>31</v>
      </c>
      <c r="E100">
        <v>234</v>
      </c>
      <c r="F100">
        <v>86</v>
      </c>
      <c r="G100">
        <v>21.25</v>
      </c>
      <c r="H100">
        <v>4973.6000000000004</v>
      </c>
    </row>
    <row r="101" spans="1:8" x14ac:dyDescent="0.2">
      <c r="A101" s="2">
        <v>44662</v>
      </c>
      <c r="B101">
        <v>91</v>
      </c>
      <c r="C101">
        <v>121</v>
      </c>
      <c r="D101">
        <v>22</v>
      </c>
      <c r="E101">
        <v>234</v>
      </c>
      <c r="F101">
        <v>93</v>
      </c>
      <c r="G101">
        <v>15.18</v>
      </c>
      <c r="H101">
        <v>3553.08</v>
      </c>
    </row>
    <row r="102" spans="1:8" x14ac:dyDescent="0.2">
      <c r="A102" s="2">
        <v>44663</v>
      </c>
      <c r="B102">
        <v>74</v>
      </c>
      <c r="C102">
        <v>122</v>
      </c>
      <c r="D102">
        <v>16</v>
      </c>
      <c r="E102">
        <v>212</v>
      </c>
      <c r="F102">
        <v>93</v>
      </c>
      <c r="G102">
        <v>19.2</v>
      </c>
      <c r="H102">
        <v>4070.45</v>
      </c>
    </row>
    <row r="103" spans="1:8" x14ac:dyDescent="0.2">
      <c r="A103" s="2">
        <v>44664</v>
      </c>
      <c r="B103">
        <v>102</v>
      </c>
      <c r="C103">
        <v>120</v>
      </c>
      <c r="D103">
        <v>17</v>
      </c>
      <c r="E103">
        <v>239</v>
      </c>
      <c r="F103">
        <v>83</v>
      </c>
      <c r="G103">
        <v>26.5</v>
      </c>
      <c r="H103">
        <v>6332.95</v>
      </c>
    </row>
    <row r="104" spans="1:8" x14ac:dyDescent="0.2">
      <c r="A104" s="2">
        <v>44665</v>
      </c>
      <c r="B104">
        <v>102</v>
      </c>
      <c r="C104">
        <v>122</v>
      </c>
      <c r="D104">
        <v>22</v>
      </c>
      <c r="E104">
        <v>246</v>
      </c>
      <c r="F104">
        <v>87</v>
      </c>
      <c r="G104">
        <v>27.8</v>
      </c>
      <c r="H104">
        <v>6838.01</v>
      </c>
    </row>
    <row r="105" spans="1:8" x14ac:dyDescent="0.2">
      <c r="A105" s="2">
        <v>44666</v>
      </c>
      <c r="B105">
        <v>211</v>
      </c>
      <c r="C105">
        <v>110</v>
      </c>
      <c r="D105">
        <v>24</v>
      </c>
      <c r="E105">
        <v>345</v>
      </c>
      <c r="F105">
        <v>94</v>
      </c>
      <c r="G105">
        <v>26.28</v>
      </c>
      <c r="H105">
        <v>9066.19</v>
      </c>
    </row>
    <row r="106" spans="1:8" x14ac:dyDescent="0.2">
      <c r="A106" s="2">
        <v>44667</v>
      </c>
      <c r="B106">
        <v>261</v>
      </c>
      <c r="C106">
        <v>69</v>
      </c>
      <c r="D106">
        <v>22</v>
      </c>
      <c r="E106">
        <v>352</v>
      </c>
      <c r="F106">
        <v>93</v>
      </c>
      <c r="G106">
        <v>29.29</v>
      </c>
      <c r="H106">
        <v>10311.450000000001</v>
      </c>
    </row>
    <row r="107" spans="1:8" x14ac:dyDescent="0.2">
      <c r="A107" s="2">
        <v>44668</v>
      </c>
      <c r="B107">
        <v>104</v>
      </c>
      <c r="C107">
        <v>143</v>
      </c>
      <c r="D107">
        <v>11</v>
      </c>
      <c r="E107">
        <v>258</v>
      </c>
      <c r="F107">
        <v>85</v>
      </c>
      <c r="G107">
        <v>19.07</v>
      </c>
      <c r="H107">
        <v>4920.93</v>
      </c>
    </row>
    <row r="108" spans="1:8" x14ac:dyDescent="0.2">
      <c r="A108" s="2">
        <v>44669</v>
      </c>
      <c r="B108">
        <v>104</v>
      </c>
      <c r="C108">
        <v>107</v>
      </c>
      <c r="D108">
        <v>32</v>
      </c>
      <c r="E108">
        <v>243</v>
      </c>
      <c r="F108">
        <v>90</v>
      </c>
      <c r="G108">
        <v>16.559999999999999</v>
      </c>
      <c r="H108">
        <v>4023.92</v>
      </c>
    </row>
    <row r="109" spans="1:8" x14ac:dyDescent="0.2">
      <c r="A109" s="2">
        <v>44670</v>
      </c>
      <c r="B109">
        <v>96</v>
      </c>
      <c r="C109">
        <v>118</v>
      </c>
      <c r="D109">
        <v>17</v>
      </c>
      <c r="E109">
        <v>231</v>
      </c>
      <c r="F109">
        <v>88</v>
      </c>
      <c r="G109">
        <v>24</v>
      </c>
      <c r="H109">
        <v>5544.25</v>
      </c>
    </row>
    <row r="110" spans="1:8" x14ac:dyDescent="0.2">
      <c r="A110" s="2">
        <v>44671</v>
      </c>
      <c r="B110">
        <v>86</v>
      </c>
      <c r="C110">
        <v>128</v>
      </c>
      <c r="D110">
        <v>2</v>
      </c>
      <c r="E110">
        <v>216</v>
      </c>
      <c r="F110">
        <v>83</v>
      </c>
      <c r="G110">
        <v>26.03</v>
      </c>
      <c r="H110">
        <v>5622.52</v>
      </c>
    </row>
    <row r="111" spans="1:8" x14ac:dyDescent="0.2">
      <c r="A111" s="2">
        <v>44672</v>
      </c>
      <c r="B111">
        <v>79</v>
      </c>
      <c r="C111">
        <v>91</v>
      </c>
      <c r="D111">
        <v>8</v>
      </c>
      <c r="E111">
        <v>184</v>
      </c>
      <c r="F111">
        <v>95</v>
      </c>
      <c r="G111">
        <v>27.84</v>
      </c>
      <c r="H111">
        <v>5123.1899999999996</v>
      </c>
    </row>
    <row r="112" spans="1:8" x14ac:dyDescent="0.2">
      <c r="A112" s="2">
        <v>44673</v>
      </c>
      <c r="B112">
        <v>136</v>
      </c>
      <c r="C112">
        <v>110</v>
      </c>
      <c r="D112">
        <v>30</v>
      </c>
      <c r="E112">
        <v>276</v>
      </c>
      <c r="F112">
        <v>91</v>
      </c>
      <c r="G112">
        <v>28.05</v>
      </c>
      <c r="H112">
        <v>7743.06</v>
      </c>
    </row>
    <row r="113" spans="1:8" x14ac:dyDescent="0.2">
      <c r="A113" s="2">
        <v>44674</v>
      </c>
      <c r="B113">
        <v>251</v>
      </c>
      <c r="C113">
        <v>111</v>
      </c>
      <c r="D113">
        <v>17</v>
      </c>
      <c r="E113">
        <v>379</v>
      </c>
      <c r="F113">
        <v>96</v>
      </c>
      <c r="G113">
        <v>27.12</v>
      </c>
      <c r="H113">
        <v>10279.719999999999</v>
      </c>
    </row>
    <row r="114" spans="1:8" x14ac:dyDescent="0.2">
      <c r="A114" s="2">
        <v>44675</v>
      </c>
      <c r="B114">
        <v>60</v>
      </c>
      <c r="C114">
        <v>76</v>
      </c>
      <c r="D114">
        <v>16</v>
      </c>
      <c r="E114">
        <v>152</v>
      </c>
      <c r="F114">
        <v>88</v>
      </c>
      <c r="G114">
        <v>23.89</v>
      </c>
      <c r="H114">
        <v>3631.2</v>
      </c>
    </row>
    <row r="115" spans="1:8" x14ac:dyDescent="0.2">
      <c r="A115" s="2">
        <v>44677</v>
      </c>
      <c r="B115">
        <v>48</v>
      </c>
      <c r="C115">
        <v>90</v>
      </c>
      <c r="D115">
        <v>8</v>
      </c>
      <c r="E115">
        <v>146</v>
      </c>
      <c r="F115">
        <v>100</v>
      </c>
      <c r="G115">
        <v>20.78</v>
      </c>
      <c r="H115">
        <v>3034.61</v>
      </c>
    </row>
    <row r="116" spans="1:8" x14ac:dyDescent="0.2">
      <c r="A116" s="2">
        <v>44678</v>
      </c>
      <c r="B116">
        <v>55</v>
      </c>
      <c r="C116">
        <v>54</v>
      </c>
      <c r="D116">
        <v>7</v>
      </c>
      <c r="E116">
        <v>116</v>
      </c>
      <c r="F116">
        <v>105</v>
      </c>
      <c r="G116">
        <v>19.12</v>
      </c>
      <c r="H116">
        <v>2217.88</v>
      </c>
    </row>
    <row r="117" spans="1:8" x14ac:dyDescent="0.2">
      <c r="A117" s="2">
        <v>44679</v>
      </c>
      <c r="B117">
        <v>65</v>
      </c>
      <c r="C117">
        <v>66</v>
      </c>
      <c r="D117">
        <v>24</v>
      </c>
      <c r="E117">
        <v>155</v>
      </c>
      <c r="F117">
        <v>93</v>
      </c>
      <c r="G117">
        <v>26.18</v>
      </c>
      <c r="H117">
        <v>4058.57</v>
      </c>
    </row>
    <row r="118" spans="1:8" x14ac:dyDescent="0.2">
      <c r="A118" s="2">
        <v>44680</v>
      </c>
      <c r="B118">
        <v>132</v>
      </c>
      <c r="C118">
        <v>77</v>
      </c>
      <c r="D118">
        <v>7</v>
      </c>
      <c r="E118">
        <v>216</v>
      </c>
      <c r="F118">
        <v>91</v>
      </c>
      <c r="G118">
        <v>31.61</v>
      </c>
      <c r="H118">
        <v>6827.49</v>
      </c>
    </row>
    <row r="119" spans="1:8" x14ac:dyDescent="0.2">
      <c r="A119" s="2">
        <v>44681</v>
      </c>
      <c r="B119">
        <v>270</v>
      </c>
      <c r="C119">
        <v>81</v>
      </c>
      <c r="D119">
        <v>27</v>
      </c>
      <c r="E119">
        <v>378</v>
      </c>
      <c r="F119">
        <v>102</v>
      </c>
      <c r="G119">
        <v>22.35</v>
      </c>
      <c r="H119">
        <v>8448.9500000000007</v>
      </c>
    </row>
    <row r="120" spans="1:8" x14ac:dyDescent="0.2">
      <c r="A120" s="2">
        <v>44682</v>
      </c>
      <c r="B120">
        <v>202</v>
      </c>
      <c r="C120">
        <v>91</v>
      </c>
      <c r="D120">
        <v>55</v>
      </c>
      <c r="E120">
        <v>348</v>
      </c>
      <c r="F120">
        <v>96</v>
      </c>
      <c r="G120">
        <v>25.35</v>
      </c>
      <c r="H120">
        <v>8822.26</v>
      </c>
    </row>
    <row r="121" spans="1:8" x14ac:dyDescent="0.2">
      <c r="A121" s="2">
        <v>44683</v>
      </c>
      <c r="B121">
        <v>114</v>
      </c>
      <c r="C121">
        <v>162</v>
      </c>
      <c r="D121">
        <v>18</v>
      </c>
      <c r="E121">
        <v>294</v>
      </c>
      <c r="F121">
        <v>94</v>
      </c>
      <c r="G121">
        <v>24.91</v>
      </c>
      <c r="H121">
        <v>7324.32</v>
      </c>
    </row>
    <row r="122" spans="1:8" x14ac:dyDescent="0.2">
      <c r="A122" s="2">
        <v>44684</v>
      </c>
      <c r="B122">
        <v>217</v>
      </c>
      <c r="C122">
        <v>41</v>
      </c>
      <c r="D122">
        <v>27</v>
      </c>
      <c r="E122">
        <v>285</v>
      </c>
      <c r="F122">
        <v>106</v>
      </c>
      <c r="G122">
        <v>10.15</v>
      </c>
      <c r="H122">
        <v>2892.26</v>
      </c>
    </row>
    <row r="123" spans="1:8" x14ac:dyDescent="0.2">
      <c r="A123" s="2">
        <v>44685</v>
      </c>
      <c r="B123">
        <v>246</v>
      </c>
      <c r="C123">
        <v>51</v>
      </c>
      <c r="D123">
        <v>9</v>
      </c>
      <c r="E123">
        <v>306</v>
      </c>
      <c r="F123">
        <v>105</v>
      </c>
      <c r="G123">
        <v>28.44</v>
      </c>
      <c r="H123">
        <v>8703.58</v>
      </c>
    </row>
    <row r="124" spans="1:8" x14ac:dyDescent="0.2">
      <c r="A124" s="2">
        <v>44686</v>
      </c>
      <c r="B124">
        <v>157</v>
      </c>
      <c r="C124">
        <v>82</v>
      </c>
      <c r="D124">
        <v>15</v>
      </c>
      <c r="E124">
        <v>254</v>
      </c>
      <c r="F124">
        <v>104</v>
      </c>
      <c r="G124">
        <v>24.94</v>
      </c>
      <c r="H124">
        <v>6334.65</v>
      </c>
    </row>
    <row r="125" spans="1:8" x14ac:dyDescent="0.2">
      <c r="A125" s="2">
        <v>44687</v>
      </c>
      <c r="B125">
        <v>280</v>
      </c>
      <c r="C125">
        <v>48</v>
      </c>
      <c r="D125">
        <v>33</v>
      </c>
      <c r="E125">
        <v>361</v>
      </c>
      <c r="F125">
        <v>104</v>
      </c>
      <c r="G125">
        <v>9.94</v>
      </c>
      <c r="H125">
        <v>3587.18</v>
      </c>
    </row>
    <row r="126" spans="1:8" x14ac:dyDescent="0.2">
      <c r="A126" s="2">
        <v>44688</v>
      </c>
      <c r="B126">
        <v>216</v>
      </c>
      <c r="C126">
        <v>105</v>
      </c>
      <c r="D126">
        <v>46</v>
      </c>
      <c r="E126">
        <v>372</v>
      </c>
      <c r="F126">
        <v>99</v>
      </c>
      <c r="G126">
        <v>13.91</v>
      </c>
      <c r="H126">
        <v>5176.07</v>
      </c>
    </row>
    <row r="127" spans="1:8" x14ac:dyDescent="0.2">
      <c r="A127" s="2">
        <v>44689</v>
      </c>
      <c r="B127">
        <v>66</v>
      </c>
      <c r="C127">
        <v>74</v>
      </c>
      <c r="D127">
        <v>18</v>
      </c>
      <c r="E127">
        <v>158</v>
      </c>
      <c r="F127">
        <v>84</v>
      </c>
      <c r="G127">
        <v>18.38</v>
      </c>
      <c r="H127">
        <v>2903.4</v>
      </c>
    </row>
    <row r="128" spans="1:8" x14ac:dyDescent="0.2">
      <c r="A128" s="2">
        <v>44690</v>
      </c>
      <c r="B128">
        <v>28</v>
      </c>
      <c r="C128">
        <v>78</v>
      </c>
      <c r="D128">
        <v>22</v>
      </c>
      <c r="E128">
        <v>128</v>
      </c>
      <c r="F128">
        <v>83</v>
      </c>
      <c r="G128">
        <v>21.17</v>
      </c>
      <c r="H128">
        <v>2709.53</v>
      </c>
    </row>
    <row r="129" spans="1:8" x14ac:dyDescent="0.2">
      <c r="A129" s="2">
        <v>44691</v>
      </c>
      <c r="B129">
        <v>64</v>
      </c>
      <c r="C129">
        <v>80</v>
      </c>
      <c r="D129">
        <v>11</v>
      </c>
      <c r="E129">
        <v>155</v>
      </c>
      <c r="F129">
        <v>80</v>
      </c>
      <c r="G129">
        <v>20.55</v>
      </c>
      <c r="H129">
        <v>3185.17</v>
      </c>
    </row>
    <row r="130" spans="1:8" x14ac:dyDescent="0.2">
      <c r="A130" s="2">
        <v>44692</v>
      </c>
      <c r="B130">
        <v>65</v>
      </c>
      <c r="C130">
        <v>53</v>
      </c>
      <c r="D130">
        <v>5</v>
      </c>
      <c r="E130">
        <v>123</v>
      </c>
      <c r="F130">
        <v>100</v>
      </c>
      <c r="G130">
        <v>22.44</v>
      </c>
      <c r="H130">
        <v>2760.06</v>
      </c>
    </row>
    <row r="131" spans="1:8" x14ac:dyDescent="0.2">
      <c r="A131" s="2">
        <v>44693</v>
      </c>
      <c r="B131">
        <v>103</v>
      </c>
      <c r="C131">
        <v>76</v>
      </c>
      <c r="D131">
        <v>18</v>
      </c>
      <c r="E131">
        <v>197</v>
      </c>
      <c r="F131">
        <v>96</v>
      </c>
      <c r="G131">
        <v>22.47</v>
      </c>
      <c r="H131">
        <v>4425.8599999999997</v>
      </c>
    </row>
    <row r="132" spans="1:8" x14ac:dyDescent="0.2">
      <c r="A132" s="2">
        <v>44694</v>
      </c>
      <c r="B132">
        <v>97</v>
      </c>
      <c r="C132">
        <v>85</v>
      </c>
      <c r="D132">
        <v>12</v>
      </c>
      <c r="E132">
        <v>194</v>
      </c>
      <c r="F132">
        <v>109</v>
      </c>
      <c r="G132">
        <v>24.89</v>
      </c>
      <c r="H132">
        <v>4829.28</v>
      </c>
    </row>
    <row r="133" spans="1:8" x14ac:dyDescent="0.2">
      <c r="A133" s="2">
        <v>44695</v>
      </c>
      <c r="B133">
        <v>235</v>
      </c>
      <c r="C133">
        <v>82</v>
      </c>
      <c r="D133">
        <v>22</v>
      </c>
      <c r="E133">
        <v>344</v>
      </c>
      <c r="F133">
        <v>102</v>
      </c>
      <c r="G133">
        <v>16.88</v>
      </c>
      <c r="H133">
        <v>5807.85</v>
      </c>
    </row>
    <row r="134" spans="1:8" x14ac:dyDescent="0.2">
      <c r="A134" s="2">
        <v>44696</v>
      </c>
      <c r="B134">
        <v>104</v>
      </c>
      <c r="C134">
        <v>48</v>
      </c>
      <c r="D134">
        <v>26</v>
      </c>
      <c r="E134">
        <v>178</v>
      </c>
      <c r="F134">
        <v>93</v>
      </c>
      <c r="G134">
        <v>19.86</v>
      </c>
      <c r="H134">
        <v>3534.64</v>
      </c>
    </row>
    <row r="135" spans="1:8" x14ac:dyDescent="0.2">
      <c r="A135" s="2">
        <v>44697</v>
      </c>
      <c r="B135">
        <v>57</v>
      </c>
      <c r="C135">
        <v>64</v>
      </c>
      <c r="D135">
        <v>19</v>
      </c>
      <c r="E135">
        <v>140</v>
      </c>
      <c r="F135">
        <v>105</v>
      </c>
      <c r="G135">
        <v>25.88</v>
      </c>
      <c r="H135">
        <v>3622.64</v>
      </c>
    </row>
    <row r="136" spans="1:8" x14ac:dyDescent="0.2">
      <c r="A136" s="2">
        <v>44698</v>
      </c>
      <c r="B136">
        <v>54</v>
      </c>
      <c r="C136">
        <v>90</v>
      </c>
      <c r="D136">
        <v>25</v>
      </c>
      <c r="E136">
        <v>169</v>
      </c>
      <c r="F136">
        <v>87</v>
      </c>
      <c r="G136">
        <v>20.98</v>
      </c>
      <c r="H136">
        <v>3545.29</v>
      </c>
    </row>
    <row r="137" spans="1:8" x14ac:dyDescent="0.2">
      <c r="A137" s="2">
        <v>44699</v>
      </c>
      <c r="B137">
        <v>54</v>
      </c>
      <c r="C137">
        <v>72</v>
      </c>
      <c r="D137">
        <v>5</v>
      </c>
      <c r="E137">
        <v>131</v>
      </c>
      <c r="F137">
        <v>100</v>
      </c>
      <c r="G137">
        <v>27.31</v>
      </c>
      <c r="H137">
        <v>3577.26</v>
      </c>
    </row>
    <row r="138" spans="1:8" x14ac:dyDescent="0.2">
      <c r="A138" s="2">
        <v>44700</v>
      </c>
      <c r="B138">
        <v>52</v>
      </c>
      <c r="C138">
        <v>62</v>
      </c>
      <c r="D138">
        <v>10</v>
      </c>
      <c r="E138">
        <v>124</v>
      </c>
      <c r="F138">
        <v>90</v>
      </c>
      <c r="G138">
        <v>31.17</v>
      </c>
      <c r="H138">
        <v>3865.63</v>
      </c>
    </row>
    <row r="139" spans="1:8" x14ac:dyDescent="0.2">
      <c r="A139" s="2">
        <v>44701</v>
      </c>
      <c r="B139">
        <v>142</v>
      </c>
      <c r="C139">
        <v>61</v>
      </c>
      <c r="D139">
        <v>8</v>
      </c>
      <c r="E139">
        <v>211</v>
      </c>
      <c r="F139">
        <v>100</v>
      </c>
      <c r="G139">
        <v>16.88</v>
      </c>
      <c r="H139">
        <v>3561.44</v>
      </c>
    </row>
    <row r="140" spans="1:8" x14ac:dyDescent="0.2">
      <c r="A140" s="2">
        <v>44702</v>
      </c>
      <c r="B140">
        <v>227</v>
      </c>
      <c r="C140">
        <v>97</v>
      </c>
      <c r="D140">
        <v>48</v>
      </c>
      <c r="E140">
        <v>374</v>
      </c>
      <c r="F140">
        <v>95</v>
      </c>
      <c r="G140">
        <v>27.4</v>
      </c>
      <c r="H140">
        <v>10246.57</v>
      </c>
    </row>
    <row r="141" spans="1:8" x14ac:dyDescent="0.2">
      <c r="A141" s="2">
        <v>44703</v>
      </c>
      <c r="B141">
        <v>67</v>
      </c>
      <c r="C141">
        <v>60</v>
      </c>
      <c r="D141">
        <v>20</v>
      </c>
      <c r="E141">
        <v>147</v>
      </c>
      <c r="F141">
        <v>84</v>
      </c>
      <c r="G141">
        <v>28.35</v>
      </c>
      <c r="H141">
        <v>4167.95</v>
      </c>
    </row>
    <row r="142" spans="1:8" x14ac:dyDescent="0.2">
      <c r="A142" s="2">
        <v>44704</v>
      </c>
      <c r="B142">
        <v>41</v>
      </c>
      <c r="C142">
        <v>81</v>
      </c>
      <c r="D142">
        <v>13</v>
      </c>
      <c r="E142">
        <v>135</v>
      </c>
      <c r="F142">
        <v>85</v>
      </c>
      <c r="G142">
        <v>20.79</v>
      </c>
      <c r="H142">
        <v>2807.29</v>
      </c>
    </row>
    <row r="143" spans="1:8" x14ac:dyDescent="0.2">
      <c r="A143" s="2">
        <v>44705</v>
      </c>
      <c r="B143">
        <v>41</v>
      </c>
      <c r="C143">
        <v>107</v>
      </c>
      <c r="D143">
        <v>8</v>
      </c>
      <c r="E143">
        <v>156</v>
      </c>
      <c r="F143">
        <v>84</v>
      </c>
      <c r="G143">
        <v>25.93</v>
      </c>
      <c r="H143">
        <v>4045.3</v>
      </c>
    </row>
    <row r="144" spans="1:8" x14ac:dyDescent="0.2">
      <c r="A144" s="2">
        <v>44706</v>
      </c>
      <c r="B144">
        <v>47</v>
      </c>
      <c r="C144">
        <v>83</v>
      </c>
      <c r="D144">
        <v>6</v>
      </c>
      <c r="E144">
        <v>136</v>
      </c>
      <c r="F144">
        <v>97</v>
      </c>
      <c r="G144">
        <v>29.92</v>
      </c>
      <c r="H144">
        <v>4069.7</v>
      </c>
    </row>
    <row r="145" spans="1:8" x14ac:dyDescent="0.2">
      <c r="A145" s="2">
        <v>44707</v>
      </c>
      <c r="B145">
        <v>77</v>
      </c>
      <c r="C145">
        <v>76</v>
      </c>
      <c r="D145">
        <v>19</v>
      </c>
      <c r="E145">
        <v>172</v>
      </c>
      <c r="F145">
        <v>95</v>
      </c>
      <c r="G145">
        <v>28.63</v>
      </c>
      <c r="H145">
        <v>4924.78</v>
      </c>
    </row>
    <row r="146" spans="1:8" x14ac:dyDescent="0.2">
      <c r="A146" s="2">
        <v>44708</v>
      </c>
      <c r="B146">
        <v>116</v>
      </c>
      <c r="C146">
        <v>83</v>
      </c>
      <c r="D146">
        <v>20</v>
      </c>
      <c r="E146">
        <v>219</v>
      </c>
      <c r="F146">
        <v>92</v>
      </c>
      <c r="G146">
        <v>30.57</v>
      </c>
      <c r="H146">
        <v>6693.92</v>
      </c>
    </row>
    <row r="147" spans="1:8" x14ac:dyDescent="0.2">
      <c r="A147" s="2">
        <v>44709</v>
      </c>
      <c r="B147">
        <v>237</v>
      </c>
      <c r="C147">
        <v>116</v>
      </c>
      <c r="D147">
        <v>31</v>
      </c>
      <c r="E147">
        <v>384</v>
      </c>
      <c r="F147">
        <v>92</v>
      </c>
      <c r="G147">
        <v>23.14</v>
      </c>
      <c r="H147">
        <v>8884.07</v>
      </c>
    </row>
    <row r="148" spans="1:8" x14ac:dyDescent="0.2">
      <c r="A148" s="2">
        <v>44710</v>
      </c>
      <c r="B148">
        <v>84</v>
      </c>
      <c r="C148">
        <v>105</v>
      </c>
      <c r="D148">
        <v>34</v>
      </c>
      <c r="E148">
        <v>223</v>
      </c>
      <c r="F148">
        <v>90</v>
      </c>
      <c r="G148">
        <v>20.92</v>
      </c>
      <c r="H148">
        <v>4664.28</v>
      </c>
    </row>
    <row r="149" spans="1:8" x14ac:dyDescent="0.2">
      <c r="A149" s="2">
        <v>44711</v>
      </c>
      <c r="B149">
        <v>87</v>
      </c>
      <c r="C149">
        <v>108</v>
      </c>
      <c r="D149">
        <v>4</v>
      </c>
      <c r="E149">
        <v>210</v>
      </c>
      <c r="F149">
        <v>88</v>
      </c>
      <c r="G149">
        <v>20.59</v>
      </c>
      <c r="H149">
        <v>4323.21</v>
      </c>
    </row>
    <row r="150" spans="1:8" x14ac:dyDescent="0.2">
      <c r="A150" s="2">
        <v>44712</v>
      </c>
      <c r="B150">
        <v>110</v>
      </c>
      <c r="C150">
        <v>94</v>
      </c>
      <c r="D150">
        <v>18</v>
      </c>
      <c r="E150">
        <v>222</v>
      </c>
      <c r="F150">
        <v>87</v>
      </c>
      <c r="G150">
        <v>18.18</v>
      </c>
      <c r="H150">
        <v>4036</v>
      </c>
    </row>
    <row r="151" spans="1:8" x14ac:dyDescent="0.2">
      <c r="A151" s="2">
        <v>44713</v>
      </c>
      <c r="B151">
        <v>103</v>
      </c>
      <c r="C151">
        <v>114</v>
      </c>
      <c r="D151">
        <v>11</v>
      </c>
      <c r="E151">
        <v>230</v>
      </c>
      <c r="F151">
        <v>92</v>
      </c>
      <c r="G151">
        <v>28.32</v>
      </c>
      <c r="H151">
        <v>6513.88</v>
      </c>
    </row>
    <row r="152" spans="1:8" x14ac:dyDescent="0.2">
      <c r="A152" s="2">
        <v>44714</v>
      </c>
      <c r="B152">
        <v>151</v>
      </c>
      <c r="C152">
        <v>167</v>
      </c>
      <c r="D152">
        <v>40</v>
      </c>
      <c r="E152">
        <v>358</v>
      </c>
      <c r="F152">
        <v>96</v>
      </c>
      <c r="G152">
        <v>27.07</v>
      </c>
      <c r="H152">
        <v>9691.06</v>
      </c>
    </row>
    <row r="153" spans="1:8" x14ac:dyDescent="0.2">
      <c r="A153" s="2">
        <v>44715</v>
      </c>
      <c r="B153">
        <v>201</v>
      </c>
      <c r="C153">
        <v>104</v>
      </c>
      <c r="D153">
        <v>35</v>
      </c>
      <c r="E153">
        <v>342</v>
      </c>
      <c r="F153">
        <v>100</v>
      </c>
      <c r="G153">
        <v>14.36</v>
      </c>
      <c r="H153">
        <v>4910.58</v>
      </c>
    </row>
    <row r="154" spans="1:8" x14ac:dyDescent="0.2">
      <c r="A154" s="2">
        <v>44716</v>
      </c>
      <c r="B154">
        <v>178</v>
      </c>
      <c r="C154">
        <v>131</v>
      </c>
      <c r="D154">
        <v>24</v>
      </c>
      <c r="E154">
        <v>333</v>
      </c>
      <c r="F154">
        <v>90</v>
      </c>
      <c r="G154">
        <v>26.18</v>
      </c>
      <c r="H154">
        <v>8716.7199999999993</v>
      </c>
    </row>
    <row r="155" spans="1:8" x14ac:dyDescent="0.2">
      <c r="A155" s="2">
        <v>44717</v>
      </c>
      <c r="B155">
        <v>48</v>
      </c>
      <c r="C155">
        <v>49</v>
      </c>
      <c r="D155">
        <v>16</v>
      </c>
      <c r="E155">
        <v>113</v>
      </c>
      <c r="F155">
        <v>86</v>
      </c>
      <c r="G155">
        <v>28.27</v>
      </c>
      <c r="H155">
        <v>3194.3</v>
      </c>
    </row>
    <row r="156" spans="1:8" x14ac:dyDescent="0.2">
      <c r="A156" s="2">
        <v>44718</v>
      </c>
      <c r="B156">
        <v>52</v>
      </c>
      <c r="C156">
        <v>84</v>
      </c>
      <c r="D156">
        <v>15</v>
      </c>
      <c r="E156">
        <v>151</v>
      </c>
      <c r="F156">
        <v>87</v>
      </c>
      <c r="G156">
        <v>26.3</v>
      </c>
      <c r="H156">
        <v>3972.02</v>
      </c>
    </row>
    <row r="157" spans="1:8" x14ac:dyDescent="0.2">
      <c r="A157" s="2">
        <v>44719</v>
      </c>
      <c r="B157">
        <v>33</v>
      </c>
      <c r="C157">
        <v>107</v>
      </c>
      <c r="D157">
        <v>8</v>
      </c>
      <c r="E157">
        <v>148</v>
      </c>
      <c r="F157">
        <v>91</v>
      </c>
      <c r="G157">
        <v>29.64</v>
      </c>
      <c r="H157">
        <v>4386.7700000000004</v>
      </c>
    </row>
    <row r="158" spans="1:8" x14ac:dyDescent="0.2">
      <c r="A158" s="2">
        <v>44720</v>
      </c>
      <c r="B158">
        <v>45</v>
      </c>
      <c r="C158">
        <v>61</v>
      </c>
      <c r="D158">
        <v>22</v>
      </c>
      <c r="E158">
        <v>128</v>
      </c>
      <c r="F158">
        <v>92</v>
      </c>
      <c r="G158">
        <v>20.47</v>
      </c>
      <c r="H158">
        <v>2620.79</v>
      </c>
    </row>
    <row r="159" spans="1:8" x14ac:dyDescent="0.2">
      <c r="A159" s="2">
        <v>44721</v>
      </c>
      <c r="B159">
        <v>56</v>
      </c>
      <c r="C159">
        <v>115</v>
      </c>
      <c r="D159">
        <v>28</v>
      </c>
      <c r="E159">
        <v>199</v>
      </c>
      <c r="F159">
        <v>91</v>
      </c>
      <c r="G159">
        <v>21.83</v>
      </c>
      <c r="H159">
        <v>4343.46</v>
      </c>
    </row>
    <row r="160" spans="1:8" x14ac:dyDescent="0.2">
      <c r="A160" s="2">
        <v>44722</v>
      </c>
      <c r="B160">
        <v>136</v>
      </c>
      <c r="C160">
        <v>61</v>
      </c>
      <c r="D160">
        <v>17</v>
      </c>
      <c r="E160">
        <v>216</v>
      </c>
      <c r="F160">
        <v>96</v>
      </c>
      <c r="G160">
        <v>17.77</v>
      </c>
      <c r="H160">
        <v>3838.18</v>
      </c>
    </row>
    <row r="161" spans="1:8" x14ac:dyDescent="0.2">
      <c r="A161" s="2">
        <v>44723</v>
      </c>
      <c r="B161">
        <v>204</v>
      </c>
      <c r="C161">
        <v>102</v>
      </c>
      <c r="D161">
        <v>8</v>
      </c>
      <c r="E161">
        <v>314</v>
      </c>
      <c r="F161">
        <v>97</v>
      </c>
      <c r="G161">
        <v>15.37</v>
      </c>
      <c r="H161">
        <v>4824.83</v>
      </c>
    </row>
    <row r="162" spans="1:8" x14ac:dyDescent="0.2">
      <c r="A162" s="2">
        <v>44724</v>
      </c>
      <c r="B162">
        <v>54</v>
      </c>
      <c r="C162">
        <v>87</v>
      </c>
      <c r="D162">
        <v>34</v>
      </c>
      <c r="E162">
        <v>175</v>
      </c>
      <c r="F162">
        <v>103</v>
      </c>
      <c r="G162">
        <v>13.75</v>
      </c>
      <c r="H162">
        <v>2406.84</v>
      </c>
    </row>
    <row r="163" spans="1:8" x14ac:dyDescent="0.2">
      <c r="A163" s="2">
        <v>44725</v>
      </c>
      <c r="B163">
        <v>43</v>
      </c>
      <c r="C163">
        <v>68</v>
      </c>
      <c r="D163">
        <v>31</v>
      </c>
      <c r="E163">
        <v>144</v>
      </c>
      <c r="F163">
        <v>93</v>
      </c>
      <c r="G163">
        <v>20.149999999999999</v>
      </c>
      <c r="H163">
        <v>2901.87</v>
      </c>
    </row>
    <row r="164" spans="1:8" x14ac:dyDescent="0.2">
      <c r="A164" s="2">
        <v>44726</v>
      </c>
      <c r="B164">
        <v>39</v>
      </c>
      <c r="C164">
        <v>80</v>
      </c>
      <c r="D164">
        <v>13</v>
      </c>
      <c r="E164">
        <v>132</v>
      </c>
      <c r="F164">
        <v>86</v>
      </c>
      <c r="G164">
        <v>26.74</v>
      </c>
      <c r="H164">
        <v>3530.17</v>
      </c>
    </row>
    <row r="165" spans="1:8" x14ac:dyDescent="0.2">
      <c r="A165" s="2">
        <v>44727</v>
      </c>
      <c r="B165">
        <v>29</v>
      </c>
      <c r="C165">
        <v>106</v>
      </c>
      <c r="D165">
        <v>12</v>
      </c>
      <c r="E165">
        <v>147</v>
      </c>
      <c r="F165">
        <v>85</v>
      </c>
      <c r="G165">
        <v>16.28</v>
      </c>
      <c r="H165">
        <v>2393.73</v>
      </c>
    </row>
    <row r="166" spans="1:8" x14ac:dyDescent="0.2">
      <c r="A166" s="2">
        <v>44728</v>
      </c>
      <c r="B166">
        <v>48</v>
      </c>
      <c r="C166">
        <v>61</v>
      </c>
      <c r="D166">
        <v>24</v>
      </c>
      <c r="E166">
        <v>133</v>
      </c>
      <c r="F166">
        <v>92</v>
      </c>
      <c r="G166">
        <v>21.8</v>
      </c>
      <c r="H166">
        <v>2899.68</v>
      </c>
    </row>
    <row r="167" spans="1:8" x14ac:dyDescent="0.2">
      <c r="A167" s="2">
        <v>44729</v>
      </c>
      <c r="B167">
        <v>112</v>
      </c>
      <c r="C167">
        <v>45</v>
      </c>
      <c r="D167">
        <v>12</v>
      </c>
      <c r="E167">
        <v>184</v>
      </c>
      <c r="F167">
        <v>100</v>
      </c>
      <c r="G167">
        <v>23.83</v>
      </c>
      <c r="H167">
        <v>4385.5200000000004</v>
      </c>
    </row>
    <row r="168" spans="1:8" x14ac:dyDescent="0.2">
      <c r="A168" s="2">
        <v>44730</v>
      </c>
      <c r="B168">
        <v>245</v>
      </c>
      <c r="C168">
        <v>89</v>
      </c>
      <c r="D168">
        <v>22</v>
      </c>
      <c r="E168">
        <v>364</v>
      </c>
      <c r="F168">
        <v>98</v>
      </c>
      <c r="G168">
        <v>27.49</v>
      </c>
      <c r="H168">
        <v>10008.01</v>
      </c>
    </row>
    <row r="169" spans="1:8" x14ac:dyDescent="0.2">
      <c r="A169" s="2">
        <v>44731</v>
      </c>
      <c r="B169">
        <v>118</v>
      </c>
      <c r="C169">
        <v>90</v>
      </c>
      <c r="D169">
        <v>15</v>
      </c>
      <c r="E169">
        <v>223</v>
      </c>
      <c r="F169">
        <v>91</v>
      </c>
      <c r="G169">
        <v>26.47</v>
      </c>
      <c r="H169">
        <v>5903.13</v>
      </c>
    </row>
    <row r="170" spans="1:8" x14ac:dyDescent="0.2">
      <c r="A170" s="2">
        <v>44732</v>
      </c>
      <c r="B170">
        <v>44</v>
      </c>
      <c r="C170">
        <v>86</v>
      </c>
      <c r="D170">
        <v>12</v>
      </c>
      <c r="E170">
        <v>148</v>
      </c>
      <c r="F170">
        <v>94</v>
      </c>
      <c r="G170">
        <v>21.41</v>
      </c>
      <c r="H170">
        <v>3168.49</v>
      </c>
    </row>
    <row r="171" spans="1:8" x14ac:dyDescent="0.2">
      <c r="A171" s="2">
        <v>44733</v>
      </c>
      <c r="B171">
        <v>42</v>
      </c>
      <c r="C171">
        <v>82</v>
      </c>
      <c r="D171">
        <v>6</v>
      </c>
      <c r="E171">
        <v>136</v>
      </c>
      <c r="F171">
        <v>96</v>
      </c>
      <c r="G171">
        <v>21.2</v>
      </c>
      <c r="H171">
        <v>2882.83</v>
      </c>
    </row>
    <row r="172" spans="1:8" x14ac:dyDescent="0.2">
      <c r="A172" s="2">
        <v>44734</v>
      </c>
      <c r="B172">
        <v>58</v>
      </c>
      <c r="C172">
        <v>69</v>
      </c>
      <c r="D172">
        <v>0</v>
      </c>
      <c r="E172">
        <v>127</v>
      </c>
      <c r="F172">
        <v>87</v>
      </c>
      <c r="G172">
        <v>28.7</v>
      </c>
      <c r="H172">
        <v>3644.56</v>
      </c>
    </row>
    <row r="173" spans="1:8" x14ac:dyDescent="0.2">
      <c r="A173" s="2">
        <v>44735</v>
      </c>
      <c r="B173">
        <v>31</v>
      </c>
      <c r="C173">
        <v>93</v>
      </c>
      <c r="D173">
        <v>14</v>
      </c>
      <c r="E173">
        <v>138</v>
      </c>
      <c r="F173">
        <v>89</v>
      </c>
      <c r="G173">
        <v>29.48</v>
      </c>
      <c r="H173">
        <v>4068.05</v>
      </c>
    </row>
    <row r="174" spans="1:8" x14ac:dyDescent="0.2">
      <c r="A174" s="2">
        <v>44736</v>
      </c>
      <c r="B174">
        <v>113</v>
      </c>
      <c r="C174">
        <v>49</v>
      </c>
      <c r="D174">
        <v>21</v>
      </c>
      <c r="E174">
        <v>192</v>
      </c>
      <c r="F174">
        <v>90</v>
      </c>
      <c r="G174">
        <v>26.78</v>
      </c>
      <c r="H174">
        <v>5141.93</v>
      </c>
    </row>
    <row r="175" spans="1:8" x14ac:dyDescent="0.2">
      <c r="A175" s="2">
        <v>44737</v>
      </c>
      <c r="B175">
        <v>172</v>
      </c>
      <c r="C175">
        <v>150</v>
      </c>
      <c r="D175">
        <v>15</v>
      </c>
      <c r="E175">
        <v>337</v>
      </c>
      <c r="F175">
        <v>84</v>
      </c>
      <c r="G175">
        <v>27.81</v>
      </c>
      <c r="H175">
        <v>9373.0300000000007</v>
      </c>
    </row>
    <row r="176" spans="1:8" x14ac:dyDescent="0.2">
      <c r="A176" s="2">
        <v>44738</v>
      </c>
      <c r="B176">
        <v>50</v>
      </c>
      <c r="C176">
        <v>85</v>
      </c>
      <c r="D176">
        <v>36</v>
      </c>
      <c r="E176">
        <v>177</v>
      </c>
      <c r="F176">
        <v>91</v>
      </c>
      <c r="G176">
        <v>19.47</v>
      </c>
      <c r="H176">
        <v>3445.33</v>
      </c>
    </row>
    <row r="177" spans="1:8" x14ac:dyDescent="0.2">
      <c r="A177" s="2">
        <v>44739</v>
      </c>
      <c r="B177">
        <v>45</v>
      </c>
      <c r="C177">
        <v>80</v>
      </c>
      <c r="D177">
        <v>4</v>
      </c>
      <c r="E177">
        <v>129</v>
      </c>
      <c r="F177">
        <v>90</v>
      </c>
      <c r="G177">
        <v>23.27</v>
      </c>
      <c r="H177">
        <v>3001.89</v>
      </c>
    </row>
    <row r="178" spans="1:8" x14ac:dyDescent="0.2">
      <c r="A178" s="2">
        <v>44740</v>
      </c>
      <c r="B178">
        <v>62</v>
      </c>
      <c r="C178">
        <v>88</v>
      </c>
      <c r="D178">
        <v>14</v>
      </c>
      <c r="E178">
        <v>164</v>
      </c>
      <c r="F178">
        <v>90</v>
      </c>
      <c r="G178">
        <v>24.71</v>
      </c>
      <c r="H178">
        <v>4052.45</v>
      </c>
    </row>
    <row r="179" spans="1:8" x14ac:dyDescent="0.2">
      <c r="A179" s="2">
        <v>44741</v>
      </c>
      <c r="B179">
        <v>56</v>
      </c>
      <c r="C179">
        <v>84</v>
      </c>
      <c r="D179">
        <v>12</v>
      </c>
      <c r="E179">
        <v>152</v>
      </c>
      <c r="F179">
        <v>90</v>
      </c>
      <c r="G179">
        <v>27.93</v>
      </c>
      <c r="H179">
        <v>4245.8</v>
      </c>
    </row>
    <row r="180" spans="1:8" x14ac:dyDescent="0.2">
      <c r="A180" s="2">
        <v>44742</v>
      </c>
      <c r="B180">
        <v>55</v>
      </c>
      <c r="C180">
        <v>85</v>
      </c>
      <c r="D180">
        <v>13</v>
      </c>
      <c r="E180">
        <v>153</v>
      </c>
      <c r="F180">
        <v>84</v>
      </c>
      <c r="G180">
        <v>26.1</v>
      </c>
      <c r="H180">
        <v>3993.92</v>
      </c>
    </row>
    <row r="181" spans="1:8" x14ac:dyDescent="0.2">
      <c r="A181" s="2">
        <v>44743</v>
      </c>
      <c r="B181">
        <v>109</v>
      </c>
      <c r="C181">
        <v>79</v>
      </c>
      <c r="D181">
        <v>10</v>
      </c>
      <c r="E181">
        <v>198</v>
      </c>
      <c r="F181">
        <v>88</v>
      </c>
      <c r="G181">
        <v>22.58</v>
      </c>
      <c r="H181">
        <v>4471.72</v>
      </c>
    </row>
    <row r="182" spans="1:8" x14ac:dyDescent="0.2">
      <c r="A182" s="2">
        <v>44744</v>
      </c>
      <c r="B182">
        <v>201</v>
      </c>
      <c r="C182">
        <v>131</v>
      </c>
      <c r="D182">
        <v>22</v>
      </c>
      <c r="E182">
        <v>354</v>
      </c>
      <c r="F182">
        <v>89</v>
      </c>
      <c r="G182">
        <v>29.41</v>
      </c>
      <c r="H182">
        <v>10410.719999999999</v>
      </c>
    </row>
    <row r="183" spans="1:8" x14ac:dyDescent="0.2">
      <c r="A183" s="2">
        <v>44745</v>
      </c>
      <c r="B183">
        <v>44</v>
      </c>
      <c r="C183">
        <v>113</v>
      </c>
      <c r="D183">
        <v>12</v>
      </c>
      <c r="E183">
        <v>172</v>
      </c>
      <c r="F183">
        <v>86</v>
      </c>
      <c r="G183">
        <v>21.19</v>
      </c>
      <c r="H183">
        <v>3644.19</v>
      </c>
    </row>
    <row r="184" spans="1:8" x14ac:dyDescent="0.2">
      <c r="A184" s="2">
        <v>44746</v>
      </c>
      <c r="B184">
        <v>88</v>
      </c>
      <c r="C184">
        <v>126</v>
      </c>
      <c r="D184">
        <v>9</v>
      </c>
      <c r="E184">
        <v>223</v>
      </c>
      <c r="F184">
        <v>88</v>
      </c>
      <c r="G184">
        <v>23.88</v>
      </c>
      <c r="H184">
        <v>5326.19</v>
      </c>
    </row>
    <row r="185" spans="1:8" x14ac:dyDescent="0.2">
      <c r="A185" s="2">
        <v>44747</v>
      </c>
      <c r="B185">
        <v>62</v>
      </c>
      <c r="C185">
        <v>88</v>
      </c>
      <c r="D185">
        <v>12</v>
      </c>
      <c r="E185">
        <v>164</v>
      </c>
      <c r="F185">
        <v>93</v>
      </c>
      <c r="G185">
        <v>20.010000000000002</v>
      </c>
      <c r="H185">
        <v>3281.9</v>
      </c>
    </row>
    <row r="186" spans="1:8" x14ac:dyDescent="0.2">
      <c r="A186" s="2">
        <v>44748</v>
      </c>
      <c r="B186">
        <v>49</v>
      </c>
      <c r="C186">
        <v>92</v>
      </c>
      <c r="D186">
        <v>8</v>
      </c>
      <c r="E186">
        <v>149</v>
      </c>
      <c r="F186">
        <v>77</v>
      </c>
      <c r="G186">
        <v>29.24</v>
      </c>
      <c r="H186">
        <v>4357.3100000000004</v>
      </c>
    </row>
    <row r="187" spans="1:8" x14ac:dyDescent="0.2">
      <c r="A187" s="2">
        <v>44749</v>
      </c>
      <c r="B187">
        <v>53</v>
      </c>
      <c r="C187">
        <v>104</v>
      </c>
      <c r="D187">
        <v>7</v>
      </c>
      <c r="E187">
        <v>166</v>
      </c>
      <c r="F187">
        <v>83</v>
      </c>
      <c r="G187">
        <v>27.4</v>
      </c>
      <c r="H187">
        <v>4547.8999999999996</v>
      </c>
    </row>
    <row r="188" spans="1:8" x14ac:dyDescent="0.2">
      <c r="A188" s="2">
        <v>44750</v>
      </c>
      <c r="B188">
        <v>146</v>
      </c>
      <c r="C188">
        <v>76</v>
      </c>
      <c r="D188">
        <v>10</v>
      </c>
      <c r="E188">
        <v>232</v>
      </c>
      <c r="F188">
        <v>93</v>
      </c>
      <c r="G188">
        <v>29.05</v>
      </c>
      <c r="H188">
        <v>6738.78</v>
      </c>
    </row>
    <row r="189" spans="1:8" x14ac:dyDescent="0.2">
      <c r="A189" s="2">
        <v>44751</v>
      </c>
      <c r="B189">
        <v>186</v>
      </c>
      <c r="C189">
        <v>114</v>
      </c>
      <c r="D189">
        <v>29</v>
      </c>
      <c r="E189">
        <v>329</v>
      </c>
      <c r="F189">
        <v>87</v>
      </c>
      <c r="G189">
        <v>28.29</v>
      </c>
      <c r="H189">
        <v>9308.35</v>
      </c>
    </row>
    <row r="190" spans="1:8" x14ac:dyDescent="0.2">
      <c r="A190" s="2">
        <v>44752</v>
      </c>
      <c r="B190">
        <v>51</v>
      </c>
      <c r="C190">
        <v>79</v>
      </c>
      <c r="D190">
        <v>22</v>
      </c>
      <c r="E190">
        <v>156</v>
      </c>
      <c r="F190">
        <v>86</v>
      </c>
      <c r="G190">
        <v>21.19</v>
      </c>
      <c r="H190">
        <v>3305.5</v>
      </c>
    </row>
    <row r="191" spans="1:8" x14ac:dyDescent="0.2">
      <c r="A191" s="2">
        <v>44753</v>
      </c>
      <c r="B191">
        <v>91</v>
      </c>
      <c r="C191">
        <v>71</v>
      </c>
      <c r="D191">
        <v>2</v>
      </c>
      <c r="E191">
        <v>164</v>
      </c>
      <c r="F191">
        <v>95</v>
      </c>
      <c r="G191">
        <v>29.86</v>
      </c>
      <c r="H191">
        <v>4896.6400000000003</v>
      </c>
    </row>
    <row r="192" spans="1:8" x14ac:dyDescent="0.2">
      <c r="A192" s="2">
        <v>44754</v>
      </c>
      <c r="B192">
        <v>57</v>
      </c>
      <c r="C192">
        <v>94</v>
      </c>
      <c r="D192">
        <v>7</v>
      </c>
      <c r="E192">
        <v>158</v>
      </c>
      <c r="F192">
        <v>88</v>
      </c>
      <c r="G192">
        <v>30.13</v>
      </c>
      <c r="H192">
        <v>4759.96</v>
      </c>
    </row>
    <row r="193" spans="1:8" x14ac:dyDescent="0.2">
      <c r="A193" s="2">
        <v>44755</v>
      </c>
      <c r="B193">
        <v>79</v>
      </c>
      <c r="C193">
        <v>71</v>
      </c>
      <c r="D193">
        <v>43</v>
      </c>
      <c r="E193">
        <v>195</v>
      </c>
      <c r="F193">
        <v>97</v>
      </c>
      <c r="G193">
        <v>15.84</v>
      </c>
      <c r="H193">
        <v>3088.26</v>
      </c>
    </row>
    <row r="194" spans="1:8" x14ac:dyDescent="0.2">
      <c r="A194" s="2">
        <v>44756</v>
      </c>
      <c r="B194">
        <v>83</v>
      </c>
      <c r="C194">
        <v>95</v>
      </c>
      <c r="D194">
        <v>10</v>
      </c>
      <c r="E194">
        <v>188</v>
      </c>
      <c r="F194">
        <v>88</v>
      </c>
      <c r="G194">
        <v>31.5</v>
      </c>
      <c r="H194">
        <v>5921.77</v>
      </c>
    </row>
    <row r="195" spans="1:8" x14ac:dyDescent="0.2">
      <c r="A195" s="2">
        <v>44757</v>
      </c>
      <c r="B195">
        <v>137</v>
      </c>
      <c r="C195">
        <v>104</v>
      </c>
      <c r="D195">
        <v>8</v>
      </c>
      <c r="E195">
        <v>249</v>
      </c>
      <c r="F195">
        <v>86</v>
      </c>
      <c r="G195">
        <v>27.04</v>
      </c>
      <c r="H195">
        <v>6733.17</v>
      </c>
    </row>
    <row r="196" spans="1:8" x14ac:dyDescent="0.2">
      <c r="A196" s="2">
        <v>44758</v>
      </c>
      <c r="B196">
        <v>156</v>
      </c>
      <c r="C196">
        <v>111</v>
      </c>
      <c r="D196">
        <v>22</v>
      </c>
      <c r="E196">
        <v>295</v>
      </c>
      <c r="F196">
        <v>86</v>
      </c>
      <c r="G196">
        <v>27.64</v>
      </c>
      <c r="H196">
        <v>8155.09</v>
      </c>
    </row>
    <row r="197" spans="1:8" x14ac:dyDescent="0.2">
      <c r="A197" s="2">
        <v>44759</v>
      </c>
      <c r="B197">
        <v>74</v>
      </c>
      <c r="C197">
        <v>85</v>
      </c>
      <c r="D197">
        <v>7</v>
      </c>
      <c r="E197">
        <v>166</v>
      </c>
      <c r="F197">
        <v>88</v>
      </c>
      <c r="G197">
        <v>24.13</v>
      </c>
      <c r="H197">
        <v>4006.16</v>
      </c>
    </row>
    <row r="198" spans="1:8" x14ac:dyDescent="0.2">
      <c r="A198" s="2">
        <v>44760</v>
      </c>
      <c r="B198">
        <v>86</v>
      </c>
      <c r="C198">
        <v>100</v>
      </c>
      <c r="D198">
        <v>11</v>
      </c>
      <c r="E198">
        <v>197</v>
      </c>
      <c r="F198">
        <v>91</v>
      </c>
      <c r="G198">
        <v>29.36</v>
      </c>
      <c r="H198">
        <v>5783.7</v>
      </c>
    </row>
    <row r="199" spans="1:8" x14ac:dyDescent="0.2">
      <c r="A199" s="2">
        <v>44761</v>
      </c>
      <c r="B199">
        <v>107</v>
      </c>
      <c r="C199">
        <v>95</v>
      </c>
      <c r="D199">
        <v>7</v>
      </c>
      <c r="E199">
        <v>209</v>
      </c>
      <c r="F199">
        <v>89</v>
      </c>
      <c r="G199">
        <v>16.940000000000001</v>
      </c>
      <c r="H199">
        <v>3539.76</v>
      </c>
    </row>
    <row r="200" spans="1:8" x14ac:dyDescent="0.2">
      <c r="A200" s="2">
        <v>44762</v>
      </c>
      <c r="B200">
        <v>120</v>
      </c>
      <c r="C200">
        <v>70</v>
      </c>
      <c r="D200">
        <v>2</v>
      </c>
      <c r="E200">
        <v>192</v>
      </c>
      <c r="F200">
        <v>94</v>
      </c>
      <c r="G200">
        <v>27.77</v>
      </c>
      <c r="H200">
        <v>5331.89</v>
      </c>
    </row>
    <row r="201" spans="1:8" x14ac:dyDescent="0.2">
      <c r="A201" s="2">
        <v>44763</v>
      </c>
      <c r="B201">
        <v>165</v>
      </c>
      <c r="C201">
        <v>78</v>
      </c>
      <c r="D201">
        <v>7</v>
      </c>
      <c r="E201">
        <v>250</v>
      </c>
      <c r="F201">
        <v>104</v>
      </c>
      <c r="G201">
        <v>29.19</v>
      </c>
      <c r="H201">
        <v>7297.84</v>
      </c>
    </row>
    <row r="202" spans="1:8" x14ac:dyDescent="0.2">
      <c r="A202" s="2">
        <v>44764</v>
      </c>
      <c r="B202">
        <v>157</v>
      </c>
      <c r="C202">
        <v>82</v>
      </c>
      <c r="D202">
        <v>11</v>
      </c>
      <c r="E202">
        <v>250</v>
      </c>
      <c r="F202">
        <v>100</v>
      </c>
      <c r="G202">
        <v>28.25</v>
      </c>
      <c r="H202">
        <v>7063.17</v>
      </c>
    </row>
    <row r="203" spans="1:8" x14ac:dyDescent="0.2">
      <c r="A203" s="2">
        <v>44765</v>
      </c>
      <c r="B203">
        <v>248</v>
      </c>
      <c r="C203">
        <v>118</v>
      </c>
      <c r="D203">
        <v>11</v>
      </c>
      <c r="E203">
        <v>377</v>
      </c>
      <c r="F203">
        <v>94</v>
      </c>
      <c r="G203">
        <v>27.3</v>
      </c>
      <c r="H203">
        <v>10293.200000000001</v>
      </c>
    </row>
    <row r="204" spans="1:8" x14ac:dyDescent="0.2">
      <c r="A204" s="2">
        <v>44766</v>
      </c>
      <c r="B204">
        <v>74</v>
      </c>
      <c r="C204">
        <v>121</v>
      </c>
      <c r="D204">
        <v>15</v>
      </c>
      <c r="E204">
        <v>210</v>
      </c>
      <c r="F204">
        <v>97</v>
      </c>
      <c r="G204">
        <v>19.489999999999998</v>
      </c>
      <c r="H204">
        <v>4093.33</v>
      </c>
    </row>
    <row r="205" spans="1:8" x14ac:dyDescent="0.2">
      <c r="A205" s="2">
        <v>44767</v>
      </c>
      <c r="B205">
        <v>63</v>
      </c>
      <c r="C205">
        <v>124</v>
      </c>
      <c r="D205">
        <v>10</v>
      </c>
      <c r="E205">
        <v>197</v>
      </c>
      <c r="F205">
        <v>94</v>
      </c>
      <c r="G205">
        <v>28.34</v>
      </c>
      <c r="H205">
        <v>5583.3</v>
      </c>
    </row>
    <row r="206" spans="1:8" x14ac:dyDescent="0.2">
      <c r="A206" s="2">
        <v>44768</v>
      </c>
      <c r="B206">
        <v>71</v>
      </c>
      <c r="C206">
        <v>105</v>
      </c>
      <c r="D206">
        <v>6</v>
      </c>
      <c r="E206">
        <v>189</v>
      </c>
      <c r="F206">
        <v>101</v>
      </c>
      <c r="G206">
        <v>23.23</v>
      </c>
      <c r="H206">
        <v>4390.92</v>
      </c>
    </row>
    <row r="207" spans="1:8" x14ac:dyDescent="0.2">
      <c r="A207" s="2">
        <v>44769</v>
      </c>
      <c r="B207">
        <v>77</v>
      </c>
      <c r="C207">
        <v>101</v>
      </c>
      <c r="D207">
        <v>6</v>
      </c>
      <c r="E207">
        <v>184</v>
      </c>
      <c r="F207">
        <v>108</v>
      </c>
      <c r="G207">
        <v>17.86</v>
      </c>
      <c r="H207">
        <v>3286.65</v>
      </c>
    </row>
    <row r="208" spans="1:8" x14ac:dyDescent="0.2">
      <c r="A208" s="2">
        <v>44770</v>
      </c>
      <c r="B208">
        <v>61</v>
      </c>
      <c r="C208">
        <v>118</v>
      </c>
      <c r="D208">
        <v>4</v>
      </c>
      <c r="E208">
        <v>183</v>
      </c>
      <c r="F208">
        <v>90</v>
      </c>
      <c r="G208">
        <v>30.11</v>
      </c>
      <c r="H208">
        <v>5510.45</v>
      </c>
    </row>
    <row r="209" spans="1:8" x14ac:dyDescent="0.2">
      <c r="A209" s="2">
        <v>44771</v>
      </c>
      <c r="B209">
        <v>127</v>
      </c>
      <c r="C209">
        <v>62</v>
      </c>
      <c r="D209">
        <v>8</v>
      </c>
      <c r="E209">
        <v>201</v>
      </c>
      <c r="F209">
        <v>102</v>
      </c>
      <c r="G209">
        <v>18.97</v>
      </c>
      <c r="H209">
        <v>3812.19</v>
      </c>
    </row>
    <row r="210" spans="1:8" x14ac:dyDescent="0.2">
      <c r="A210" s="2">
        <v>44772</v>
      </c>
      <c r="B210">
        <v>187</v>
      </c>
      <c r="C210">
        <v>97</v>
      </c>
      <c r="D210">
        <v>14</v>
      </c>
      <c r="E210">
        <v>298</v>
      </c>
      <c r="F210">
        <v>98</v>
      </c>
      <c r="G210">
        <v>26.55</v>
      </c>
      <c r="H210">
        <v>7911.26</v>
      </c>
    </row>
    <row r="211" spans="1:8" x14ac:dyDescent="0.2">
      <c r="A211" s="2">
        <v>44773</v>
      </c>
      <c r="B211">
        <v>70</v>
      </c>
      <c r="C211">
        <v>125</v>
      </c>
      <c r="D211">
        <v>13</v>
      </c>
      <c r="E211">
        <v>208</v>
      </c>
      <c r="F211">
        <v>82</v>
      </c>
      <c r="G211">
        <v>23.03</v>
      </c>
      <c r="H211">
        <v>4789.79</v>
      </c>
    </row>
    <row r="212" spans="1:8" x14ac:dyDescent="0.2">
      <c r="A212" s="2">
        <v>44774</v>
      </c>
      <c r="B212">
        <v>62</v>
      </c>
      <c r="C212">
        <v>102</v>
      </c>
      <c r="D212">
        <v>22</v>
      </c>
      <c r="E212">
        <v>186</v>
      </c>
      <c r="F212">
        <v>94</v>
      </c>
      <c r="G212">
        <v>13.06</v>
      </c>
      <c r="H212">
        <v>2428.38</v>
      </c>
    </row>
    <row r="213" spans="1:8" x14ac:dyDescent="0.2">
      <c r="A213" s="2">
        <v>44775</v>
      </c>
      <c r="B213">
        <v>49</v>
      </c>
      <c r="C213">
        <v>75</v>
      </c>
      <c r="D213">
        <v>15</v>
      </c>
      <c r="E213">
        <v>143</v>
      </c>
      <c r="F213">
        <v>102</v>
      </c>
      <c r="G213">
        <v>15.38</v>
      </c>
      <c r="H213">
        <v>2199.56</v>
      </c>
    </row>
    <row r="214" spans="1:8" x14ac:dyDescent="0.2">
      <c r="A214" s="2">
        <v>44776</v>
      </c>
      <c r="B214">
        <v>109</v>
      </c>
      <c r="C214">
        <v>102</v>
      </c>
      <c r="D214">
        <v>7</v>
      </c>
      <c r="E214">
        <v>218</v>
      </c>
      <c r="F214">
        <v>81</v>
      </c>
      <c r="G214">
        <v>28.81</v>
      </c>
      <c r="H214">
        <v>6280.2</v>
      </c>
    </row>
    <row r="215" spans="1:8" x14ac:dyDescent="0.2">
      <c r="A215" s="2">
        <v>44777</v>
      </c>
      <c r="B215">
        <v>83</v>
      </c>
      <c r="C215">
        <v>95</v>
      </c>
      <c r="D215">
        <v>12</v>
      </c>
      <c r="E215">
        <v>190</v>
      </c>
      <c r="F215">
        <v>90</v>
      </c>
      <c r="G215">
        <v>26.87</v>
      </c>
      <c r="H215">
        <v>5105.8999999999996</v>
      </c>
    </row>
    <row r="216" spans="1:8" x14ac:dyDescent="0.2">
      <c r="A216" s="2">
        <v>44778</v>
      </c>
      <c r="B216">
        <v>125</v>
      </c>
      <c r="C216">
        <v>84</v>
      </c>
      <c r="D216">
        <v>21</v>
      </c>
      <c r="E216">
        <v>232</v>
      </c>
      <c r="F216">
        <v>93</v>
      </c>
      <c r="G216">
        <v>30.82</v>
      </c>
      <c r="H216">
        <v>7151.18</v>
      </c>
    </row>
    <row r="217" spans="1:8" x14ac:dyDescent="0.2">
      <c r="A217" s="2">
        <v>44779</v>
      </c>
      <c r="B217">
        <v>228</v>
      </c>
      <c r="C217">
        <v>101</v>
      </c>
      <c r="D217">
        <v>14</v>
      </c>
      <c r="E217">
        <v>349</v>
      </c>
      <c r="F217">
        <v>96</v>
      </c>
      <c r="G217">
        <v>30.43</v>
      </c>
      <c r="H217">
        <v>10619.97</v>
      </c>
    </row>
    <row r="218" spans="1:8" x14ac:dyDescent="0.2">
      <c r="A218" s="2">
        <v>44780</v>
      </c>
      <c r="B218">
        <v>71</v>
      </c>
      <c r="C218">
        <v>102</v>
      </c>
      <c r="D218">
        <v>15</v>
      </c>
      <c r="E218">
        <v>188</v>
      </c>
      <c r="F218">
        <v>92</v>
      </c>
      <c r="G218">
        <v>21.25</v>
      </c>
      <c r="H218">
        <v>3995.23</v>
      </c>
    </row>
    <row r="219" spans="1:8" x14ac:dyDescent="0.2">
      <c r="A219" s="2">
        <v>44781</v>
      </c>
      <c r="B219">
        <v>55</v>
      </c>
      <c r="C219">
        <v>108</v>
      </c>
      <c r="D219">
        <v>10</v>
      </c>
      <c r="E219">
        <v>178</v>
      </c>
      <c r="F219">
        <v>85</v>
      </c>
      <c r="G219">
        <v>27.71</v>
      </c>
      <c r="H219">
        <v>4932.78</v>
      </c>
    </row>
    <row r="220" spans="1:8" x14ac:dyDescent="0.2">
      <c r="A220" s="2">
        <v>44782</v>
      </c>
      <c r="B220">
        <v>79</v>
      </c>
      <c r="C220">
        <v>91</v>
      </c>
      <c r="D220">
        <v>23</v>
      </c>
      <c r="E220">
        <v>193</v>
      </c>
      <c r="F220">
        <v>90</v>
      </c>
      <c r="G220">
        <v>18.13</v>
      </c>
      <c r="H220">
        <v>3498.45</v>
      </c>
    </row>
    <row r="221" spans="1:8" x14ac:dyDescent="0.2">
      <c r="A221" s="2">
        <v>44783</v>
      </c>
      <c r="B221">
        <v>74</v>
      </c>
      <c r="C221">
        <v>110</v>
      </c>
      <c r="D221">
        <v>8</v>
      </c>
      <c r="E221">
        <v>192</v>
      </c>
      <c r="F221">
        <v>91</v>
      </c>
      <c r="G221">
        <v>27.26</v>
      </c>
      <c r="H221">
        <v>5233.92</v>
      </c>
    </row>
    <row r="222" spans="1:8" x14ac:dyDescent="0.2">
      <c r="A222" s="2">
        <v>44784</v>
      </c>
      <c r="B222">
        <v>69</v>
      </c>
      <c r="C222">
        <v>103</v>
      </c>
      <c r="D222">
        <v>8</v>
      </c>
      <c r="E222">
        <v>180</v>
      </c>
      <c r="F222">
        <v>88</v>
      </c>
      <c r="G222">
        <v>28.84</v>
      </c>
      <c r="H222">
        <v>5191.24</v>
      </c>
    </row>
    <row r="223" spans="1:8" x14ac:dyDescent="0.2">
      <c r="A223" s="2">
        <v>44785</v>
      </c>
      <c r="B223">
        <v>96</v>
      </c>
      <c r="C223">
        <v>85</v>
      </c>
      <c r="D223">
        <v>14</v>
      </c>
      <c r="E223">
        <v>195</v>
      </c>
      <c r="F223">
        <v>85</v>
      </c>
      <c r="G223">
        <v>32.020000000000003</v>
      </c>
      <c r="H223">
        <v>6243.74</v>
      </c>
    </row>
    <row r="224" spans="1:8" x14ac:dyDescent="0.2">
      <c r="A224" s="2">
        <v>44786</v>
      </c>
      <c r="B224">
        <v>188</v>
      </c>
      <c r="C224">
        <v>93</v>
      </c>
      <c r="D224">
        <v>10</v>
      </c>
      <c r="E224">
        <v>291</v>
      </c>
      <c r="F224">
        <v>91</v>
      </c>
      <c r="G224">
        <v>30.44</v>
      </c>
      <c r="H224">
        <v>8859.52</v>
      </c>
    </row>
    <row r="225" spans="1:8" x14ac:dyDescent="0.2">
      <c r="A225" s="2">
        <v>44787</v>
      </c>
      <c r="B225">
        <v>55</v>
      </c>
      <c r="C225">
        <v>110</v>
      </c>
      <c r="D225">
        <v>27</v>
      </c>
      <c r="E225">
        <v>195</v>
      </c>
      <c r="F225">
        <v>84</v>
      </c>
      <c r="G225">
        <v>20.02</v>
      </c>
      <c r="H225">
        <v>3904.36</v>
      </c>
    </row>
    <row r="226" spans="1:8" x14ac:dyDescent="0.2">
      <c r="A226" s="2">
        <v>44788</v>
      </c>
      <c r="B226">
        <v>48</v>
      </c>
      <c r="C226">
        <v>86</v>
      </c>
      <c r="D226">
        <v>12</v>
      </c>
      <c r="E226">
        <v>148</v>
      </c>
      <c r="F226">
        <v>95</v>
      </c>
      <c r="G226">
        <v>30.61</v>
      </c>
      <c r="H226">
        <v>4529.7</v>
      </c>
    </row>
    <row r="227" spans="1:8" x14ac:dyDescent="0.2">
      <c r="A227" s="2">
        <v>44789</v>
      </c>
      <c r="B227">
        <v>90</v>
      </c>
      <c r="C227">
        <v>82</v>
      </c>
      <c r="D227">
        <v>10</v>
      </c>
      <c r="E227">
        <v>185</v>
      </c>
      <c r="F227">
        <v>87</v>
      </c>
      <c r="G227">
        <v>28.41</v>
      </c>
      <c r="H227">
        <v>5255.71</v>
      </c>
    </row>
    <row r="228" spans="1:8" x14ac:dyDescent="0.2">
      <c r="A228" s="2">
        <v>44790</v>
      </c>
      <c r="B228">
        <v>86</v>
      </c>
      <c r="C228">
        <v>92</v>
      </c>
      <c r="D228">
        <v>32</v>
      </c>
      <c r="E228">
        <v>210</v>
      </c>
      <c r="F228">
        <v>101</v>
      </c>
      <c r="G228">
        <v>22.58</v>
      </c>
      <c r="H228">
        <v>4742.78</v>
      </c>
    </row>
    <row r="229" spans="1:8" x14ac:dyDescent="0.2">
      <c r="A229" s="2">
        <v>44791</v>
      </c>
      <c r="B229">
        <v>84</v>
      </c>
      <c r="C229">
        <v>64</v>
      </c>
      <c r="D229">
        <v>4</v>
      </c>
      <c r="E229">
        <v>152</v>
      </c>
      <c r="F229">
        <v>98</v>
      </c>
      <c r="G229">
        <v>23.31</v>
      </c>
      <c r="H229">
        <v>3543.02</v>
      </c>
    </row>
    <row r="230" spans="1:8" x14ac:dyDescent="0.2">
      <c r="A230" s="2">
        <v>44792</v>
      </c>
      <c r="B230">
        <v>134</v>
      </c>
      <c r="C230">
        <v>73</v>
      </c>
      <c r="D230">
        <v>4</v>
      </c>
      <c r="E230">
        <v>211</v>
      </c>
      <c r="F230">
        <v>92</v>
      </c>
      <c r="G230">
        <v>29.26</v>
      </c>
      <c r="H230">
        <v>6173.62</v>
      </c>
    </row>
    <row r="231" spans="1:8" x14ac:dyDescent="0.2">
      <c r="A231" s="2">
        <v>44793</v>
      </c>
      <c r="B231">
        <v>162</v>
      </c>
      <c r="C231">
        <v>113</v>
      </c>
      <c r="D231">
        <v>14</v>
      </c>
      <c r="E231">
        <v>289</v>
      </c>
      <c r="F231">
        <v>87</v>
      </c>
      <c r="G231">
        <v>30.33</v>
      </c>
      <c r="H231">
        <v>8766.4500000000007</v>
      </c>
    </row>
    <row r="232" spans="1:8" x14ac:dyDescent="0.2">
      <c r="A232" s="2">
        <v>44794</v>
      </c>
      <c r="B232">
        <v>57</v>
      </c>
      <c r="C232">
        <v>90</v>
      </c>
      <c r="D232">
        <v>52</v>
      </c>
      <c r="E232">
        <v>199</v>
      </c>
      <c r="F232">
        <v>91</v>
      </c>
      <c r="G232">
        <v>18.64</v>
      </c>
      <c r="H232">
        <v>3709.04</v>
      </c>
    </row>
    <row r="233" spans="1:8" x14ac:dyDescent="0.2">
      <c r="A233" s="2">
        <v>44795</v>
      </c>
      <c r="B233">
        <v>46</v>
      </c>
      <c r="C233">
        <v>109</v>
      </c>
      <c r="D233">
        <v>17</v>
      </c>
      <c r="E233">
        <v>172</v>
      </c>
      <c r="F233">
        <v>90</v>
      </c>
      <c r="G233">
        <v>27.61</v>
      </c>
      <c r="H233">
        <v>4748.49</v>
      </c>
    </row>
    <row r="234" spans="1:8" x14ac:dyDescent="0.2">
      <c r="A234" s="2">
        <v>44796</v>
      </c>
      <c r="B234">
        <v>74</v>
      </c>
      <c r="C234">
        <v>118</v>
      </c>
      <c r="D234">
        <v>10</v>
      </c>
      <c r="E234">
        <v>202</v>
      </c>
      <c r="F234">
        <v>92</v>
      </c>
      <c r="G234">
        <v>14.9</v>
      </c>
      <c r="H234">
        <v>3010.46</v>
      </c>
    </row>
    <row r="235" spans="1:8" x14ac:dyDescent="0.2">
      <c r="A235" s="2">
        <v>44797</v>
      </c>
      <c r="B235">
        <v>74</v>
      </c>
      <c r="C235">
        <v>108</v>
      </c>
      <c r="D235">
        <v>15</v>
      </c>
      <c r="E235">
        <v>197</v>
      </c>
      <c r="F235">
        <v>89</v>
      </c>
      <c r="G235">
        <v>27.03</v>
      </c>
      <c r="H235">
        <v>5324.98</v>
      </c>
    </row>
    <row r="236" spans="1:8" x14ac:dyDescent="0.2">
      <c r="A236" s="2">
        <v>44798</v>
      </c>
      <c r="B236">
        <v>96</v>
      </c>
      <c r="C236">
        <v>87</v>
      </c>
      <c r="D236">
        <v>14</v>
      </c>
      <c r="E236">
        <v>197</v>
      </c>
      <c r="F236">
        <v>99</v>
      </c>
      <c r="G236">
        <v>18.52</v>
      </c>
      <c r="H236">
        <v>3647.66</v>
      </c>
    </row>
    <row r="237" spans="1:8" x14ac:dyDescent="0.2">
      <c r="A237" s="2">
        <v>44799</v>
      </c>
      <c r="B237">
        <v>127</v>
      </c>
      <c r="C237">
        <v>99</v>
      </c>
      <c r="D237">
        <v>13</v>
      </c>
      <c r="E237">
        <v>239</v>
      </c>
      <c r="F237">
        <v>96</v>
      </c>
      <c r="G237">
        <v>21.79</v>
      </c>
      <c r="H237">
        <v>5207.7</v>
      </c>
    </row>
    <row r="238" spans="1:8" x14ac:dyDescent="0.2">
      <c r="A238" s="2">
        <v>44800</v>
      </c>
      <c r="B238">
        <v>206</v>
      </c>
      <c r="C238">
        <v>129</v>
      </c>
      <c r="D238">
        <v>21</v>
      </c>
      <c r="E238">
        <v>356</v>
      </c>
      <c r="F238">
        <v>85</v>
      </c>
      <c r="G238">
        <v>30.2</v>
      </c>
      <c r="H238">
        <v>10752.46</v>
      </c>
    </row>
    <row r="239" spans="1:8" x14ac:dyDescent="0.2">
      <c r="A239" s="2">
        <v>44801</v>
      </c>
      <c r="B239">
        <v>120</v>
      </c>
      <c r="C239">
        <v>133</v>
      </c>
      <c r="D239">
        <v>17</v>
      </c>
      <c r="E239">
        <v>270</v>
      </c>
      <c r="F239">
        <v>83</v>
      </c>
      <c r="G239">
        <v>28.46</v>
      </c>
      <c r="H239">
        <v>7685.39</v>
      </c>
    </row>
    <row r="240" spans="1:8" x14ac:dyDescent="0.2">
      <c r="A240" s="2">
        <v>44802</v>
      </c>
      <c r="B240">
        <v>66</v>
      </c>
      <c r="C240">
        <v>156</v>
      </c>
      <c r="D240">
        <v>17</v>
      </c>
      <c r="E240">
        <v>239</v>
      </c>
      <c r="F240">
        <v>84</v>
      </c>
      <c r="G240">
        <v>26.91</v>
      </c>
      <c r="H240">
        <v>6430.69</v>
      </c>
    </row>
    <row r="241" spans="1:8" x14ac:dyDescent="0.2">
      <c r="A241" s="2">
        <v>44803</v>
      </c>
      <c r="B241">
        <v>46</v>
      </c>
      <c r="C241">
        <v>120</v>
      </c>
      <c r="D241">
        <v>14</v>
      </c>
      <c r="E241">
        <v>180</v>
      </c>
      <c r="F241">
        <v>94</v>
      </c>
      <c r="G241">
        <v>23.43</v>
      </c>
      <c r="H241">
        <v>4218.03</v>
      </c>
    </row>
    <row r="242" spans="1:8" x14ac:dyDescent="0.2">
      <c r="A242" s="2">
        <v>44804</v>
      </c>
      <c r="B242">
        <v>59</v>
      </c>
      <c r="C242">
        <v>95</v>
      </c>
      <c r="D242">
        <v>19</v>
      </c>
      <c r="E242">
        <v>175</v>
      </c>
      <c r="F242">
        <v>87</v>
      </c>
      <c r="G242">
        <v>26.57</v>
      </c>
      <c r="H242">
        <v>4649.3599999999997</v>
      </c>
    </row>
    <row r="243" spans="1:8" x14ac:dyDescent="0.2">
      <c r="A243" s="2">
        <v>44805</v>
      </c>
      <c r="B243">
        <v>57</v>
      </c>
      <c r="C243">
        <v>87</v>
      </c>
      <c r="D243">
        <v>8</v>
      </c>
      <c r="E243">
        <v>152</v>
      </c>
      <c r="F243">
        <v>94</v>
      </c>
      <c r="G243">
        <v>30.25</v>
      </c>
      <c r="H243">
        <v>4598.13</v>
      </c>
    </row>
    <row r="244" spans="1:8" x14ac:dyDescent="0.2">
      <c r="A244" s="2">
        <v>44806</v>
      </c>
      <c r="B244">
        <v>90</v>
      </c>
      <c r="C244">
        <v>105</v>
      </c>
      <c r="D244">
        <v>11</v>
      </c>
      <c r="E244">
        <v>206</v>
      </c>
      <c r="F244">
        <v>83</v>
      </c>
      <c r="G244">
        <v>31.42</v>
      </c>
      <c r="H244">
        <v>6472.3</v>
      </c>
    </row>
    <row r="245" spans="1:8" x14ac:dyDescent="0.2">
      <c r="A245" s="2">
        <v>44807</v>
      </c>
      <c r="B245">
        <v>162</v>
      </c>
      <c r="C245">
        <v>136</v>
      </c>
      <c r="D245">
        <v>9</v>
      </c>
      <c r="E245">
        <v>307</v>
      </c>
      <c r="F245">
        <v>82</v>
      </c>
      <c r="G245">
        <v>29.07</v>
      </c>
      <c r="H245">
        <v>8923.7099999999991</v>
      </c>
    </row>
    <row r="246" spans="1:8" x14ac:dyDescent="0.2">
      <c r="A246" s="2">
        <v>44808</v>
      </c>
      <c r="B246">
        <v>54</v>
      </c>
      <c r="C246">
        <v>83</v>
      </c>
      <c r="D246">
        <v>8</v>
      </c>
      <c r="E246">
        <v>145</v>
      </c>
      <c r="F246">
        <v>91</v>
      </c>
      <c r="G246">
        <v>21.22</v>
      </c>
      <c r="H246">
        <v>3077.55</v>
      </c>
    </row>
    <row r="247" spans="1:8" x14ac:dyDescent="0.2">
      <c r="A247" s="2">
        <v>44809</v>
      </c>
      <c r="B247">
        <v>63</v>
      </c>
      <c r="C247">
        <v>110</v>
      </c>
      <c r="D247">
        <v>15</v>
      </c>
      <c r="E247">
        <v>188</v>
      </c>
      <c r="F247">
        <v>94</v>
      </c>
      <c r="G247">
        <v>30.25</v>
      </c>
      <c r="H247">
        <v>5686.19</v>
      </c>
    </row>
    <row r="248" spans="1:8" x14ac:dyDescent="0.2">
      <c r="A248" s="2">
        <v>44810</v>
      </c>
      <c r="B248">
        <v>34</v>
      </c>
      <c r="C248">
        <v>87</v>
      </c>
      <c r="D248">
        <v>19</v>
      </c>
      <c r="E248">
        <v>140</v>
      </c>
      <c r="F248">
        <v>89</v>
      </c>
      <c r="G248">
        <v>18.46</v>
      </c>
      <c r="H248">
        <v>2584.42</v>
      </c>
    </row>
    <row r="249" spans="1:8" x14ac:dyDescent="0.2">
      <c r="A249" s="2">
        <v>44811</v>
      </c>
      <c r="B249">
        <v>34</v>
      </c>
      <c r="C249">
        <v>76</v>
      </c>
      <c r="D249">
        <v>10</v>
      </c>
      <c r="E249">
        <v>120</v>
      </c>
      <c r="F249">
        <v>103</v>
      </c>
      <c r="G249">
        <v>30.59</v>
      </c>
      <c r="H249">
        <v>3671.18</v>
      </c>
    </row>
    <row r="250" spans="1:8" x14ac:dyDescent="0.2">
      <c r="A250" s="2">
        <v>44812</v>
      </c>
      <c r="B250">
        <v>36</v>
      </c>
      <c r="C250">
        <v>97</v>
      </c>
      <c r="D250">
        <v>10</v>
      </c>
      <c r="E250">
        <v>143</v>
      </c>
      <c r="F250">
        <v>98</v>
      </c>
      <c r="G250">
        <v>29.4</v>
      </c>
      <c r="H250">
        <v>4203.58</v>
      </c>
    </row>
    <row r="251" spans="1:8" x14ac:dyDescent="0.2">
      <c r="A251" s="2">
        <v>44813</v>
      </c>
      <c r="B251">
        <v>71</v>
      </c>
      <c r="C251">
        <v>77</v>
      </c>
      <c r="D251">
        <v>17</v>
      </c>
      <c r="E251">
        <v>165</v>
      </c>
      <c r="F251">
        <v>95</v>
      </c>
      <c r="G251">
        <v>30.03</v>
      </c>
      <c r="H251">
        <v>4955.12</v>
      </c>
    </row>
    <row r="252" spans="1:8" x14ac:dyDescent="0.2">
      <c r="A252" s="2">
        <v>44814</v>
      </c>
      <c r="B252">
        <v>180</v>
      </c>
      <c r="C252">
        <v>146</v>
      </c>
      <c r="D252">
        <v>8</v>
      </c>
      <c r="E252">
        <v>334</v>
      </c>
      <c r="F252">
        <v>98</v>
      </c>
      <c r="G252">
        <v>30.26</v>
      </c>
      <c r="H252">
        <v>10108.450000000001</v>
      </c>
    </row>
    <row r="253" spans="1:8" x14ac:dyDescent="0.2">
      <c r="A253" s="2">
        <v>44815</v>
      </c>
      <c r="B253">
        <v>28</v>
      </c>
      <c r="C253">
        <v>88</v>
      </c>
      <c r="D253">
        <v>2</v>
      </c>
      <c r="E253">
        <v>118</v>
      </c>
      <c r="F253">
        <v>88</v>
      </c>
      <c r="G253">
        <v>25.38</v>
      </c>
      <c r="H253">
        <v>2995.22</v>
      </c>
    </row>
    <row r="254" spans="1:8" x14ac:dyDescent="0.2">
      <c r="A254" s="2">
        <v>44816</v>
      </c>
      <c r="B254">
        <v>29</v>
      </c>
      <c r="C254">
        <v>109</v>
      </c>
      <c r="D254">
        <v>14</v>
      </c>
      <c r="E254">
        <v>152</v>
      </c>
      <c r="F254">
        <v>83</v>
      </c>
      <c r="G254">
        <v>27.91</v>
      </c>
      <c r="H254">
        <v>4241.7700000000004</v>
      </c>
    </row>
    <row r="255" spans="1:8" x14ac:dyDescent="0.2">
      <c r="A255" s="2">
        <v>44817</v>
      </c>
      <c r="B255">
        <v>69</v>
      </c>
      <c r="C255">
        <v>94</v>
      </c>
      <c r="D255">
        <v>6</v>
      </c>
      <c r="E255">
        <v>170</v>
      </c>
      <c r="F255">
        <v>85</v>
      </c>
      <c r="G255">
        <v>27.29</v>
      </c>
      <c r="H255">
        <v>4640.12</v>
      </c>
    </row>
    <row r="256" spans="1:8" x14ac:dyDescent="0.2">
      <c r="A256" s="2">
        <v>44818</v>
      </c>
      <c r="B256">
        <v>64</v>
      </c>
      <c r="C256">
        <v>85</v>
      </c>
      <c r="D256">
        <v>8</v>
      </c>
      <c r="E256">
        <v>157</v>
      </c>
      <c r="F256">
        <v>96</v>
      </c>
      <c r="G256">
        <v>28.89</v>
      </c>
      <c r="H256">
        <v>4535.9799999999996</v>
      </c>
    </row>
    <row r="257" spans="1:8" x14ac:dyDescent="0.2">
      <c r="A257" s="2">
        <v>44819</v>
      </c>
      <c r="B257">
        <v>30</v>
      </c>
      <c r="C257">
        <v>85</v>
      </c>
      <c r="D257">
        <v>4</v>
      </c>
      <c r="E257">
        <v>119</v>
      </c>
      <c r="F257">
        <v>87</v>
      </c>
      <c r="G257">
        <v>31.56</v>
      </c>
      <c r="H257">
        <v>3755.11</v>
      </c>
    </row>
    <row r="258" spans="1:8" x14ac:dyDescent="0.2">
      <c r="A258" s="2">
        <v>44820</v>
      </c>
      <c r="B258">
        <v>103</v>
      </c>
      <c r="C258">
        <v>110</v>
      </c>
      <c r="D258">
        <v>10</v>
      </c>
      <c r="E258">
        <v>223</v>
      </c>
      <c r="F258">
        <v>96</v>
      </c>
      <c r="G258">
        <v>27.72</v>
      </c>
      <c r="H258">
        <v>6182.02</v>
      </c>
    </row>
    <row r="259" spans="1:8" x14ac:dyDescent="0.2">
      <c r="A259" s="2">
        <v>44821</v>
      </c>
      <c r="B259">
        <v>214</v>
      </c>
      <c r="C259">
        <v>150</v>
      </c>
      <c r="D259">
        <v>11</v>
      </c>
      <c r="E259">
        <v>375</v>
      </c>
      <c r="F259">
        <v>91</v>
      </c>
      <c r="G259">
        <v>31.44</v>
      </c>
      <c r="H259">
        <v>11789.73</v>
      </c>
    </row>
    <row r="260" spans="1:8" x14ac:dyDescent="0.2">
      <c r="A260" s="2">
        <v>44822</v>
      </c>
      <c r="B260">
        <v>59</v>
      </c>
      <c r="C260">
        <v>132</v>
      </c>
      <c r="D260">
        <v>9</v>
      </c>
      <c r="E260">
        <v>200</v>
      </c>
      <c r="F260">
        <v>87</v>
      </c>
      <c r="G260">
        <v>28.69</v>
      </c>
      <c r="H260">
        <v>5737.91</v>
      </c>
    </row>
    <row r="261" spans="1:8" x14ac:dyDescent="0.2">
      <c r="A261" s="2">
        <v>44823</v>
      </c>
      <c r="B261">
        <v>33</v>
      </c>
      <c r="C261">
        <v>107</v>
      </c>
      <c r="D261">
        <v>10</v>
      </c>
      <c r="E261">
        <v>150</v>
      </c>
      <c r="F261">
        <v>78</v>
      </c>
      <c r="G261">
        <v>26.25</v>
      </c>
      <c r="H261">
        <v>3937.55</v>
      </c>
    </row>
    <row r="262" spans="1:8" x14ac:dyDescent="0.2">
      <c r="A262" s="2">
        <v>44824</v>
      </c>
      <c r="B262">
        <v>47</v>
      </c>
      <c r="C262">
        <v>92</v>
      </c>
      <c r="D262">
        <v>7</v>
      </c>
      <c r="E262">
        <v>148</v>
      </c>
      <c r="F262">
        <v>89</v>
      </c>
      <c r="G262">
        <v>27.57</v>
      </c>
      <c r="H262">
        <v>4080.67</v>
      </c>
    </row>
    <row r="263" spans="1:8" x14ac:dyDescent="0.2">
      <c r="A263" s="2">
        <v>44825</v>
      </c>
      <c r="B263">
        <v>36</v>
      </c>
      <c r="C263">
        <v>111</v>
      </c>
      <c r="D263">
        <v>4</v>
      </c>
      <c r="E263">
        <v>151</v>
      </c>
      <c r="F263">
        <v>75</v>
      </c>
      <c r="G263">
        <v>29.1</v>
      </c>
      <c r="H263">
        <v>4393.5600000000004</v>
      </c>
    </row>
    <row r="264" spans="1:8" x14ac:dyDescent="0.2">
      <c r="A264" s="2">
        <v>44826</v>
      </c>
      <c r="B264">
        <v>43</v>
      </c>
      <c r="C264">
        <v>106</v>
      </c>
      <c r="D264">
        <v>12</v>
      </c>
      <c r="E264">
        <v>161</v>
      </c>
      <c r="F264">
        <v>89</v>
      </c>
      <c r="G264">
        <v>24.27</v>
      </c>
      <c r="H264">
        <v>3906.83</v>
      </c>
    </row>
    <row r="265" spans="1:8" x14ac:dyDescent="0.2">
      <c r="A265" s="2">
        <v>44827</v>
      </c>
      <c r="B265">
        <v>109</v>
      </c>
      <c r="C265">
        <v>91</v>
      </c>
      <c r="D265">
        <v>14</v>
      </c>
      <c r="E265">
        <v>214</v>
      </c>
      <c r="F265">
        <v>103</v>
      </c>
      <c r="G265">
        <v>24.67</v>
      </c>
      <c r="H265">
        <v>5279.71</v>
      </c>
    </row>
    <row r="266" spans="1:8" x14ac:dyDescent="0.2">
      <c r="A266" s="2">
        <v>44828</v>
      </c>
      <c r="B266">
        <v>235</v>
      </c>
      <c r="C266">
        <v>118</v>
      </c>
      <c r="D266">
        <v>22</v>
      </c>
      <c r="E266">
        <v>375</v>
      </c>
      <c r="F266">
        <v>99</v>
      </c>
      <c r="G266">
        <v>30.12</v>
      </c>
      <c r="H266">
        <v>11294.66</v>
      </c>
    </row>
    <row r="267" spans="1:8" x14ac:dyDescent="0.2">
      <c r="A267" s="2">
        <v>44829</v>
      </c>
      <c r="B267">
        <v>40</v>
      </c>
      <c r="C267">
        <v>111</v>
      </c>
      <c r="D267">
        <v>16</v>
      </c>
      <c r="E267">
        <v>167</v>
      </c>
      <c r="F267">
        <v>95</v>
      </c>
      <c r="G267">
        <v>24.92</v>
      </c>
      <c r="H267">
        <v>4161.12</v>
      </c>
    </row>
    <row r="268" spans="1:8" x14ac:dyDescent="0.2">
      <c r="A268" s="2">
        <v>44830</v>
      </c>
      <c r="B268">
        <v>36</v>
      </c>
      <c r="C268">
        <v>76</v>
      </c>
      <c r="D268">
        <v>9</v>
      </c>
      <c r="E268">
        <v>121</v>
      </c>
      <c r="F268">
        <v>82</v>
      </c>
      <c r="G268">
        <v>24.14</v>
      </c>
      <c r="H268">
        <v>2921.4</v>
      </c>
    </row>
    <row r="269" spans="1:8" x14ac:dyDescent="0.2">
      <c r="A269" s="2">
        <v>44831</v>
      </c>
      <c r="B269">
        <v>53</v>
      </c>
      <c r="C269">
        <v>73</v>
      </c>
      <c r="D269">
        <v>6</v>
      </c>
      <c r="E269">
        <v>134</v>
      </c>
      <c r="F269">
        <v>91</v>
      </c>
      <c r="G269">
        <v>28.33</v>
      </c>
      <c r="H269">
        <v>3795.85</v>
      </c>
    </row>
    <row r="270" spans="1:8" x14ac:dyDescent="0.2">
      <c r="A270" s="2">
        <v>44832</v>
      </c>
      <c r="B270">
        <v>70</v>
      </c>
      <c r="C270">
        <v>77</v>
      </c>
      <c r="D270">
        <v>8</v>
      </c>
      <c r="E270">
        <v>155</v>
      </c>
      <c r="F270">
        <v>75</v>
      </c>
      <c r="G270">
        <v>27.7</v>
      </c>
      <c r="H270">
        <v>4293</v>
      </c>
    </row>
    <row r="271" spans="1:8" x14ac:dyDescent="0.2">
      <c r="A271" s="2">
        <v>44833</v>
      </c>
      <c r="B271">
        <v>94</v>
      </c>
      <c r="C271">
        <v>41</v>
      </c>
      <c r="D271">
        <v>0</v>
      </c>
      <c r="E271">
        <v>135</v>
      </c>
      <c r="F271">
        <v>87</v>
      </c>
      <c r="G271">
        <v>25.57</v>
      </c>
      <c r="H271">
        <v>3451.88</v>
      </c>
    </row>
    <row r="272" spans="1:8" x14ac:dyDescent="0.2">
      <c r="A272" s="2">
        <v>44834</v>
      </c>
      <c r="B272">
        <v>88</v>
      </c>
      <c r="C272">
        <v>104</v>
      </c>
      <c r="D272">
        <v>11</v>
      </c>
      <c r="E272">
        <v>203</v>
      </c>
      <c r="F272">
        <v>89</v>
      </c>
      <c r="G272">
        <v>28.29</v>
      </c>
      <c r="H272">
        <v>5743.73</v>
      </c>
    </row>
    <row r="273" spans="1:8" x14ac:dyDescent="0.2">
      <c r="A273" s="2">
        <v>44835</v>
      </c>
      <c r="B273">
        <v>198</v>
      </c>
      <c r="C273">
        <v>129</v>
      </c>
      <c r="D273">
        <v>4</v>
      </c>
      <c r="E273">
        <v>334</v>
      </c>
      <c r="F273">
        <v>96</v>
      </c>
      <c r="G273">
        <v>29.42</v>
      </c>
      <c r="H273">
        <v>9825.4500000000007</v>
      </c>
    </row>
    <row r="274" spans="1:8" x14ac:dyDescent="0.2">
      <c r="A274" s="2">
        <v>44836</v>
      </c>
      <c r="B274">
        <v>72</v>
      </c>
      <c r="C274">
        <v>72</v>
      </c>
      <c r="D274">
        <v>55</v>
      </c>
      <c r="E274">
        <v>199</v>
      </c>
      <c r="F274">
        <v>98</v>
      </c>
      <c r="G274">
        <v>16.86</v>
      </c>
      <c r="H274">
        <v>3355.3</v>
      </c>
    </row>
    <row r="275" spans="1:8" x14ac:dyDescent="0.2">
      <c r="A275" s="2">
        <v>44837</v>
      </c>
      <c r="B275">
        <v>48</v>
      </c>
      <c r="C275">
        <v>84</v>
      </c>
      <c r="D275">
        <v>17</v>
      </c>
      <c r="E275">
        <v>151</v>
      </c>
      <c r="F275">
        <v>90</v>
      </c>
      <c r="G275">
        <v>20.48</v>
      </c>
      <c r="H275">
        <v>3092.38</v>
      </c>
    </row>
    <row r="276" spans="1:8" x14ac:dyDescent="0.2">
      <c r="A276" s="2">
        <v>44838</v>
      </c>
      <c r="B276">
        <v>50</v>
      </c>
      <c r="C276">
        <v>98</v>
      </c>
      <c r="D276">
        <v>9</v>
      </c>
      <c r="E276">
        <v>157</v>
      </c>
      <c r="F276">
        <v>92</v>
      </c>
      <c r="G276">
        <v>24.5</v>
      </c>
      <c r="H276">
        <v>3846.97</v>
      </c>
    </row>
    <row r="277" spans="1:8" x14ac:dyDescent="0.2">
      <c r="A277" s="2">
        <v>44839</v>
      </c>
      <c r="B277">
        <v>54</v>
      </c>
      <c r="C277">
        <v>85</v>
      </c>
      <c r="D277">
        <v>2</v>
      </c>
      <c r="E277">
        <v>141</v>
      </c>
      <c r="F277">
        <v>91</v>
      </c>
      <c r="G277">
        <v>25.66</v>
      </c>
      <c r="H277">
        <v>3617.86</v>
      </c>
    </row>
    <row r="278" spans="1:8" x14ac:dyDescent="0.2">
      <c r="A278" s="2">
        <v>44840</v>
      </c>
      <c r="B278">
        <v>64</v>
      </c>
      <c r="C278">
        <v>79</v>
      </c>
      <c r="D278">
        <v>7</v>
      </c>
      <c r="E278">
        <v>150</v>
      </c>
      <c r="F278">
        <v>96</v>
      </c>
      <c r="G278">
        <v>26.93</v>
      </c>
      <c r="H278">
        <v>4038.98</v>
      </c>
    </row>
    <row r="279" spans="1:8" x14ac:dyDescent="0.2">
      <c r="A279" s="2">
        <v>44841</v>
      </c>
      <c r="B279">
        <v>103</v>
      </c>
      <c r="C279">
        <v>84</v>
      </c>
      <c r="D279">
        <v>4</v>
      </c>
      <c r="E279">
        <v>191</v>
      </c>
      <c r="F279">
        <v>99</v>
      </c>
      <c r="G279">
        <v>22.12</v>
      </c>
      <c r="H279">
        <v>4224.45</v>
      </c>
    </row>
    <row r="280" spans="1:8" x14ac:dyDescent="0.2">
      <c r="A280" s="2">
        <v>44842</v>
      </c>
      <c r="B280">
        <v>258</v>
      </c>
      <c r="C280">
        <v>92</v>
      </c>
      <c r="D280">
        <v>16</v>
      </c>
      <c r="E280">
        <v>366</v>
      </c>
      <c r="F280">
        <v>102</v>
      </c>
      <c r="G280">
        <v>19.95</v>
      </c>
      <c r="H280">
        <v>7302.27</v>
      </c>
    </row>
    <row r="281" spans="1:8" x14ac:dyDescent="0.2">
      <c r="A281" s="2">
        <v>44843</v>
      </c>
      <c r="B281">
        <v>51</v>
      </c>
      <c r="C281">
        <v>80</v>
      </c>
      <c r="D281">
        <v>21</v>
      </c>
      <c r="E281">
        <v>154</v>
      </c>
      <c r="F281">
        <v>90</v>
      </c>
      <c r="G281">
        <v>24.57</v>
      </c>
      <c r="H281">
        <v>3784.13</v>
      </c>
    </row>
    <row r="282" spans="1:8" x14ac:dyDescent="0.2">
      <c r="A282" s="2">
        <v>44844</v>
      </c>
      <c r="B282">
        <v>69</v>
      </c>
      <c r="C282">
        <v>78</v>
      </c>
      <c r="D282">
        <v>24</v>
      </c>
      <c r="E282">
        <v>180</v>
      </c>
      <c r="F282">
        <v>100</v>
      </c>
      <c r="G282">
        <v>19.309999999999999</v>
      </c>
      <c r="H282">
        <v>3475.97</v>
      </c>
    </row>
    <row r="283" spans="1:8" x14ac:dyDescent="0.2">
      <c r="A283" s="2">
        <v>44845</v>
      </c>
      <c r="B283">
        <v>73</v>
      </c>
      <c r="C283">
        <v>91</v>
      </c>
      <c r="D283">
        <v>22</v>
      </c>
      <c r="E283">
        <v>186</v>
      </c>
      <c r="F283">
        <v>93</v>
      </c>
      <c r="G283">
        <v>20.36</v>
      </c>
      <c r="H283">
        <v>3786.27</v>
      </c>
    </row>
    <row r="284" spans="1:8" x14ac:dyDescent="0.2">
      <c r="A284" s="2">
        <v>44846</v>
      </c>
      <c r="B284">
        <v>129</v>
      </c>
      <c r="C284">
        <v>80</v>
      </c>
      <c r="D284">
        <v>5</v>
      </c>
      <c r="E284">
        <v>214</v>
      </c>
      <c r="F284">
        <v>94</v>
      </c>
      <c r="G284">
        <v>26.68</v>
      </c>
      <c r="H284">
        <v>5708.92</v>
      </c>
    </row>
    <row r="285" spans="1:8" x14ac:dyDescent="0.2">
      <c r="A285" s="2">
        <v>44847</v>
      </c>
      <c r="B285">
        <v>113</v>
      </c>
      <c r="C285">
        <v>90</v>
      </c>
      <c r="D285">
        <v>10</v>
      </c>
      <c r="E285">
        <v>213</v>
      </c>
      <c r="F285">
        <v>89</v>
      </c>
      <c r="G285">
        <v>26.65</v>
      </c>
      <c r="H285">
        <v>5675.99</v>
      </c>
    </row>
    <row r="286" spans="1:8" x14ac:dyDescent="0.2">
      <c r="A286" s="2">
        <v>44848</v>
      </c>
      <c r="B286">
        <v>149</v>
      </c>
      <c r="C286">
        <v>99</v>
      </c>
      <c r="D286">
        <v>10</v>
      </c>
      <c r="E286">
        <v>258</v>
      </c>
      <c r="F286">
        <v>93</v>
      </c>
      <c r="G286">
        <v>27.49</v>
      </c>
      <c r="H286">
        <v>7092.03</v>
      </c>
    </row>
    <row r="287" spans="1:8" x14ac:dyDescent="0.2">
      <c r="A287" s="2">
        <v>44849</v>
      </c>
      <c r="B287">
        <v>249</v>
      </c>
      <c r="C287">
        <v>127</v>
      </c>
      <c r="D287">
        <v>7</v>
      </c>
      <c r="E287">
        <v>383</v>
      </c>
      <c r="F287">
        <v>96</v>
      </c>
      <c r="G287">
        <v>29.2</v>
      </c>
      <c r="H287">
        <v>11182.37</v>
      </c>
    </row>
    <row r="288" spans="1:8" x14ac:dyDescent="0.2">
      <c r="A288" s="2">
        <v>44850</v>
      </c>
      <c r="B288">
        <v>122</v>
      </c>
      <c r="C288">
        <v>157</v>
      </c>
      <c r="D288">
        <v>10</v>
      </c>
      <c r="E288">
        <v>289</v>
      </c>
      <c r="F288">
        <v>84</v>
      </c>
      <c r="G288">
        <v>17.32</v>
      </c>
      <c r="H288">
        <v>5005.71</v>
      </c>
    </row>
    <row r="289" spans="1:8" x14ac:dyDescent="0.2">
      <c r="A289" s="2">
        <v>44851</v>
      </c>
      <c r="B289">
        <v>48</v>
      </c>
      <c r="C289">
        <v>104</v>
      </c>
      <c r="D289">
        <v>5</v>
      </c>
      <c r="E289">
        <v>157</v>
      </c>
      <c r="F289">
        <v>91</v>
      </c>
      <c r="G289">
        <v>29.17</v>
      </c>
      <c r="H289">
        <v>4580.3500000000004</v>
      </c>
    </row>
    <row r="290" spans="1:8" x14ac:dyDescent="0.2">
      <c r="A290" s="2">
        <v>44852</v>
      </c>
      <c r="B290">
        <v>22</v>
      </c>
      <c r="C290">
        <v>98</v>
      </c>
      <c r="D290">
        <v>5</v>
      </c>
      <c r="E290">
        <v>127</v>
      </c>
      <c r="F290">
        <v>87</v>
      </c>
      <c r="G290">
        <v>25.21</v>
      </c>
      <c r="H290">
        <v>3201.7</v>
      </c>
    </row>
    <row r="291" spans="1:8" x14ac:dyDescent="0.2">
      <c r="A291" s="2">
        <v>44853</v>
      </c>
      <c r="B291">
        <v>49</v>
      </c>
      <c r="C291">
        <v>90</v>
      </c>
      <c r="D291">
        <v>2</v>
      </c>
      <c r="E291">
        <v>145</v>
      </c>
      <c r="F291">
        <v>98</v>
      </c>
      <c r="G291">
        <v>21.41</v>
      </c>
      <c r="H291">
        <v>3104.58</v>
      </c>
    </row>
    <row r="292" spans="1:8" x14ac:dyDescent="0.2">
      <c r="A292" s="2">
        <v>44854</v>
      </c>
      <c r="B292">
        <v>70</v>
      </c>
      <c r="C292">
        <v>100</v>
      </c>
      <c r="D292">
        <v>0</v>
      </c>
      <c r="E292">
        <v>170</v>
      </c>
      <c r="F292">
        <v>91</v>
      </c>
      <c r="G292">
        <v>31.74</v>
      </c>
      <c r="H292">
        <v>5395.61</v>
      </c>
    </row>
    <row r="293" spans="1:8" x14ac:dyDescent="0.2">
      <c r="A293" s="2">
        <v>44855</v>
      </c>
      <c r="B293">
        <v>150</v>
      </c>
      <c r="C293">
        <v>98</v>
      </c>
      <c r="D293">
        <v>8</v>
      </c>
      <c r="E293">
        <v>256</v>
      </c>
      <c r="F293">
        <v>93</v>
      </c>
      <c r="G293">
        <v>29.11</v>
      </c>
      <c r="H293">
        <v>7451.26</v>
      </c>
    </row>
    <row r="294" spans="1:8" x14ac:dyDescent="0.2">
      <c r="A294" s="2">
        <v>44856</v>
      </c>
      <c r="B294">
        <v>236</v>
      </c>
      <c r="C294">
        <v>164</v>
      </c>
      <c r="D294">
        <v>5</v>
      </c>
      <c r="E294">
        <v>405</v>
      </c>
      <c r="F294">
        <v>90</v>
      </c>
      <c r="G294">
        <v>29.52</v>
      </c>
      <c r="H294">
        <v>11957.4</v>
      </c>
    </row>
    <row r="295" spans="1:8" x14ac:dyDescent="0.2">
      <c r="A295" s="2">
        <v>44857</v>
      </c>
      <c r="B295">
        <v>56</v>
      </c>
      <c r="C295">
        <v>111</v>
      </c>
      <c r="D295">
        <v>8</v>
      </c>
      <c r="E295">
        <v>175</v>
      </c>
      <c r="F295">
        <v>94</v>
      </c>
      <c r="G295">
        <v>21.85</v>
      </c>
      <c r="H295">
        <v>3824.58</v>
      </c>
    </row>
    <row r="296" spans="1:8" x14ac:dyDescent="0.2">
      <c r="A296" s="2">
        <v>44858</v>
      </c>
      <c r="B296">
        <v>97</v>
      </c>
      <c r="C296">
        <v>111</v>
      </c>
      <c r="D296">
        <v>17</v>
      </c>
      <c r="E296">
        <v>225</v>
      </c>
      <c r="F296">
        <v>93</v>
      </c>
      <c r="G296">
        <v>15.95</v>
      </c>
      <c r="H296">
        <v>3587.89</v>
      </c>
    </row>
    <row r="297" spans="1:8" x14ac:dyDescent="0.2">
      <c r="A297" s="2">
        <v>44859</v>
      </c>
      <c r="B297">
        <v>59</v>
      </c>
      <c r="C297">
        <v>126</v>
      </c>
      <c r="D297">
        <v>5</v>
      </c>
      <c r="E297">
        <v>190</v>
      </c>
      <c r="F297">
        <v>78</v>
      </c>
      <c r="G297">
        <v>26.92</v>
      </c>
      <c r="H297">
        <v>5114.78</v>
      </c>
    </row>
    <row r="298" spans="1:8" x14ac:dyDescent="0.2">
      <c r="A298" s="2">
        <v>44860</v>
      </c>
      <c r="B298">
        <v>132</v>
      </c>
      <c r="C298">
        <v>137</v>
      </c>
      <c r="D298">
        <v>7</v>
      </c>
      <c r="E298">
        <v>276</v>
      </c>
      <c r="F298">
        <v>87</v>
      </c>
      <c r="G298">
        <v>27.63</v>
      </c>
      <c r="H298">
        <v>7626.15</v>
      </c>
    </row>
    <row r="299" spans="1:8" x14ac:dyDescent="0.2">
      <c r="A299" s="2">
        <v>44861</v>
      </c>
      <c r="B299">
        <v>71</v>
      </c>
      <c r="C299">
        <v>113</v>
      </c>
      <c r="D299">
        <v>15</v>
      </c>
      <c r="E299">
        <v>199</v>
      </c>
      <c r="F299">
        <v>91</v>
      </c>
      <c r="G299">
        <v>27.45</v>
      </c>
      <c r="H299">
        <v>5462.29</v>
      </c>
    </row>
    <row r="300" spans="1:8" x14ac:dyDescent="0.2">
      <c r="A300" s="2">
        <v>44862</v>
      </c>
      <c r="B300">
        <v>153</v>
      </c>
      <c r="C300">
        <v>146</v>
      </c>
      <c r="D300">
        <v>2</v>
      </c>
      <c r="E300">
        <v>301</v>
      </c>
      <c r="F300">
        <v>89</v>
      </c>
      <c r="G300">
        <v>30.27</v>
      </c>
      <c r="H300">
        <v>9111.9500000000007</v>
      </c>
    </row>
    <row r="301" spans="1:8" x14ac:dyDescent="0.2">
      <c r="A301" s="2">
        <v>44863</v>
      </c>
      <c r="B301">
        <v>243</v>
      </c>
      <c r="C301">
        <v>155</v>
      </c>
      <c r="D301">
        <v>12</v>
      </c>
      <c r="E301">
        <v>410</v>
      </c>
      <c r="F301">
        <v>94</v>
      </c>
      <c r="G301">
        <v>29.22</v>
      </c>
      <c r="H301">
        <v>11978.83</v>
      </c>
    </row>
    <row r="302" spans="1:8" x14ac:dyDescent="0.2">
      <c r="A302" s="2">
        <v>44864</v>
      </c>
      <c r="B302">
        <v>78</v>
      </c>
      <c r="C302">
        <v>51</v>
      </c>
      <c r="D302">
        <v>88</v>
      </c>
      <c r="E302">
        <v>219</v>
      </c>
      <c r="F302">
        <v>94</v>
      </c>
      <c r="G302">
        <v>23.17</v>
      </c>
      <c r="H302">
        <v>5073.8900000000003</v>
      </c>
    </row>
    <row r="303" spans="1:8" x14ac:dyDescent="0.2">
      <c r="A303" s="2">
        <v>44865</v>
      </c>
      <c r="B303">
        <v>48</v>
      </c>
      <c r="C303">
        <v>40</v>
      </c>
      <c r="D303">
        <v>101</v>
      </c>
      <c r="E303">
        <v>189</v>
      </c>
      <c r="F303">
        <v>95</v>
      </c>
      <c r="G303">
        <v>28.52</v>
      </c>
      <c r="H303">
        <v>5390.37</v>
      </c>
    </row>
    <row r="304" spans="1:8" x14ac:dyDescent="0.2">
      <c r="A304" s="2">
        <v>44866</v>
      </c>
      <c r="B304">
        <v>23</v>
      </c>
      <c r="C304">
        <v>12</v>
      </c>
      <c r="D304">
        <v>60</v>
      </c>
      <c r="E304">
        <v>95</v>
      </c>
      <c r="F304">
        <v>75</v>
      </c>
      <c r="G304">
        <v>26.69</v>
      </c>
      <c r="H304">
        <v>2535.13</v>
      </c>
    </row>
    <row r="305" spans="1:8" x14ac:dyDescent="0.2">
      <c r="A305" s="2">
        <v>44867</v>
      </c>
      <c r="B305">
        <v>48</v>
      </c>
      <c r="C305">
        <v>24</v>
      </c>
      <c r="D305">
        <v>59</v>
      </c>
      <c r="E305">
        <v>131</v>
      </c>
      <c r="F305">
        <v>87</v>
      </c>
      <c r="G305">
        <v>30.08</v>
      </c>
      <c r="H305">
        <v>3940.57</v>
      </c>
    </row>
    <row r="306" spans="1:8" x14ac:dyDescent="0.2">
      <c r="A306" s="2">
        <v>44868</v>
      </c>
      <c r="B306">
        <v>31</v>
      </c>
      <c r="C306">
        <v>23</v>
      </c>
      <c r="D306">
        <v>107</v>
      </c>
      <c r="E306">
        <v>161</v>
      </c>
      <c r="F306">
        <v>84</v>
      </c>
      <c r="G306">
        <v>23.56</v>
      </c>
      <c r="H306">
        <v>3793.13</v>
      </c>
    </row>
    <row r="307" spans="1:8" x14ac:dyDescent="0.2">
      <c r="A307" s="2">
        <v>44869</v>
      </c>
      <c r="B307">
        <v>127</v>
      </c>
      <c r="C307">
        <v>37</v>
      </c>
      <c r="D307">
        <v>101</v>
      </c>
      <c r="E307">
        <v>265</v>
      </c>
      <c r="F307">
        <v>87</v>
      </c>
      <c r="G307">
        <v>29.92</v>
      </c>
      <c r="H307">
        <v>7929.06</v>
      </c>
    </row>
    <row r="308" spans="1:8" x14ac:dyDescent="0.2">
      <c r="A308" s="2">
        <v>44870</v>
      </c>
      <c r="B308">
        <v>202</v>
      </c>
      <c r="C308">
        <v>32</v>
      </c>
      <c r="D308">
        <v>82</v>
      </c>
      <c r="E308">
        <v>316</v>
      </c>
      <c r="F308">
        <v>88</v>
      </c>
      <c r="G308">
        <v>29.78</v>
      </c>
      <c r="H308">
        <v>9411.84</v>
      </c>
    </row>
    <row r="309" spans="1:8" x14ac:dyDescent="0.2">
      <c r="A309" s="2">
        <v>44871</v>
      </c>
      <c r="B309">
        <v>45</v>
      </c>
      <c r="C309">
        <v>26</v>
      </c>
      <c r="D309">
        <v>71</v>
      </c>
      <c r="E309">
        <v>142</v>
      </c>
      <c r="F309">
        <v>92</v>
      </c>
      <c r="G309">
        <v>25</v>
      </c>
      <c r="H309">
        <v>3549.31</v>
      </c>
    </row>
    <row r="310" spans="1:8" x14ac:dyDescent="0.2">
      <c r="A310" s="2">
        <v>44872</v>
      </c>
      <c r="B310">
        <v>20</v>
      </c>
      <c r="C310">
        <v>23</v>
      </c>
      <c r="D310">
        <v>71</v>
      </c>
      <c r="E310">
        <v>114</v>
      </c>
      <c r="F310">
        <v>98</v>
      </c>
      <c r="G310">
        <v>21.18</v>
      </c>
      <c r="H310">
        <v>2414.5100000000002</v>
      </c>
    </row>
    <row r="311" spans="1:8" x14ac:dyDescent="0.2">
      <c r="A311" s="2">
        <v>44873</v>
      </c>
      <c r="B311">
        <v>65</v>
      </c>
      <c r="C311">
        <v>27</v>
      </c>
      <c r="D311">
        <v>56</v>
      </c>
      <c r="E311">
        <v>148</v>
      </c>
      <c r="F311">
        <v>89</v>
      </c>
      <c r="G311">
        <v>30.45</v>
      </c>
      <c r="H311">
        <v>4506.4799999999996</v>
      </c>
    </row>
    <row r="312" spans="1:8" x14ac:dyDescent="0.2">
      <c r="A312" s="2">
        <v>44874</v>
      </c>
      <c r="B312">
        <v>52</v>
      </c>
      <c r="C312">
        <v>36</v>
      </c>
      <c r="D312">
        <v>88</v>
      </c>
      <c r="E312">
        <v>176</v>
      </c>
      <c r="F312">
        <v>82</v>
      </c>
      <c r="G312">
        <v>27.66</v>
      </c>
      <c r="H312">
        <v>4867.29</v>
      </c>
    </row>
    <row r="313" spans="1:8" x14ac:dyDescent="0.2">
      <c r="A313" s="2">
        <v>44875</v>
      </c>
      <c r="B313">
        <v>56</v>
      </c>
      <c r="C313">
        <v>22</v>
      </c>
      <c r="D313">
        <v>94</v>
      </c>
      <c r="E313">
        <v>172</v>
      </c>
      <c r="F313">
        <v>92</v>
      </c>
      <c r="G313">
        <v>30.4</v>
      </c>
      <c r="H313">
        <v>5228.71</v>
      </c>
    </row>
    <row r="314" spans="1:8" x14ac:dyDescent="0.2">
      <c r="A314" s="2">
        <v>44876</v>
      </c>
      <c r="B314">
        <v>143</v>
      </c>
      <c r="C314">
        <v>25</v>
      </c>
      <c r="D314">
        <v>93</v>
      </c>
      <c r="E314">
        <v>261</v>
      </c>
      <c r="F314">
        <v>96</v>
      </c>
      <c r="G314">
        <v>31.89</v>
      </c>
      <c r="H314">
        <v>8322.6200000000008</v>
      </c>
    </row>
    <row r="315" spans="1:8" x14ac:dyDescent="0.2">
      <c r="A315" s="2">
        <v>44877</v>
      </c>
      <c r="B315">
        <v>311</v>
      </c>
      <c r="C315">
        <v>67</v>
      </c>
      <c r="D315">
        <v>57</v>
      </c>
      <c r="E315">
        <v>435</v>
      </c>
      <c r="F315">
        <v>96</v>
      </c>
      <c r="G315">
        <v>29.6</v>
      </c>
      <c r="H315">
        <v>12877.79</v>
      </c>
    </row>
    <row r="316" spans="1:8" x14ac:dyDescent="0.2">
      <c r="A316" s="2">
        <v>44878</v>
      </c>
      <c r="B316">
        <v>76</v>
      </c>
      <c r="C316">
        <v>39</v>
      </c>
      <c r="D316">
        <v>97</v>
      </c>
      <c r="E316">
        <v>212</v>
      </c>
      <c r="F316">
        <v>87</v>
      </c>
      <c r="G316">
        <v>26.52</v>
      </c>
      <c r="H316">
        <v>5622.79</v>
      </c>
    </row>
    <row r="317" spans="1:8" x14ac:dyDescent="0.2">
      <c r="A317" s="2">
        <v>44879</v>
      </c>
      <c r="B317">
        <v>36</v>
      </c>
      <c r="C317">
        <v>18</v>
      </c>
      <c r="D317">
        <v>86</v>
      </c>
      <c r="E317">
        <v>140</v>
      </c>
      <c r="F317">
        <v>89</v>
      </c>
      <c r="G317">
        <v>31.06</v>
      </c>
      <c r="H317">
        <v>4348.57</v>
      </c>
    </row>
    <row r="318" spans="1:8" x14ac:dyDescent="0.2">
      <c r="A318" s="2">
        <v>44880</v>
      </c>
      <c r="B318">
        <v>74</v>
      </c>
      <c r="C318">
        <v>14</v>
      </c>
      <c r="D318">
        <v>53</v>
      </c>
      <c r="E318">
        <v>141</v>
      </c>
      <c r="F318">
        <v>99</v>
      </c>
      <c r="G318">
        <v>30.98</v>
      </c>
      <c r="H318">
        <v>4368.42</v>
      </c>
    </row>
    <row r="319" spans="1:8" x14ac:dyDescent="0.2">
      <c r="A319" s="2">
        <v>44881</v>
      </c>
      <c r="B319">
        <v>65</v>
      </c>
      <c r="C319">
        <v>12</v>
      </c>
      <c r="D319">
        <v>60</v>
      </c>
      <c r="E319">
        <v>140</v>
      </c>
      <c r="F319">
        <v>98</v>
      </c>
      <c r="G319">
        <v>29.12</v>
      </c>
      <c r="H319">
        <v>4076.87</v>
      </c>
    </row>
    <row r="320" spans="1:8" x14ac:dyDescent="0.2">
      <c r="A320" s="2">
        <v>44882</v>
      </c>
      <c r="B320">
        <v>101</v>
      </c>
      <c r="C320">
        <v>8</v>
      </c>
      <c r="D320">
        <v>53</v>
      </c>
      <c r="E320">
        <v>162</v>
      </c>
      <c r="F320">
        <v>93</v>
      </c>
      <c r="G320">
        <v>30.04</v>
      </c>
      <c r="H320">
        <v>4866.8</v>
      </c>
    </row>
    <row r="321" spans="1:8" x14ac:dyDescent="0.2">
      <c r="A321" s="2">
        <v>44883</v>
      </c>
      <c r="B321">
        <v>202</v>
      </c>
      <c r="C321">
        <v>36</v>
      </c>
      <c r="D321">
        <v>55</v>
      </c>
      <c r="E321">
        <v>293</v>
      </c>
      <c r="F321">
        <v>90</v>
      </c>
      <c r="G321">
        <v>28.88</v>
      </c>
      <c r="H321">
        <v>8460.61</v>
      </c>
    </row>
    <row r="322" spans="1:8" x14ac:dyDescent="0.2">
      <c r="A322" s="2">
        <v>44884</v>
      </c>
      <c r="B322">
        <v>339</v>
      </c>
      <c r="C322">
        <v>57</v>
      </c>
      <c r="D322">
        <v>31</v>
      </c>
      <c r="E322">
        <v>427</v>
      </c>
      <c r="F322">
        <v>102</v>
      </c>
      <c r="G322">
        <v>30.88</v>
      </c>
      <c r="H322">
        <v>13185.84</v>
      </c>
    </row>
    <row r="323" spans="1:8" x14ac:dyDescent="0.2">
      <c r="A323" s="2">
        <v>44885</v>
      </c>
      <c r="B323">
        <v>109</v>
      </c>
      <c r="C323">
        <v>42</v>
      </c>
      <c r="D323">
        <v>92</v>
      </c>
      <c r="E323">
        <v>245</v>
      </c>
      <c r="F323">
        <v>85</v>
      </c>
      <c r="G323">
        <v>27.47</v>
      </c>
      <c r="H323">
        <v>6729.51</v>
      </c>
    </row>
    <row r="324" spans="1:8" x14ac:dyDescent="0.2">
      <c r="A324" s="2">
        <v>44886</v>
      </c>
      <c r="B324">
        <v>46</v>
      </c>
      <c r="C324">
        <v>24</v>
      </c>
      <c r="D324">
        <v>64</v>
      </c>
      <c r="E324">
        <v>143</v>
      </c>
      <c r="F324">
        <v>99</v>
      </c>
      <c r="G324">
        <v>24.49</v>
      </c>
      <c r="H324">
        <v>3502.76</v>
      </c>
    </row>
    <row r="325" spans="1:8" x14ac:dyDescent="0.2">
      <c r="A325" s="2">
        <v>44887</v>
      </c>
      <c r="B325">
        <v>93</v>
      </c>
      <c r="C325">
        <v>22</v>
      </c>
      <c r="D325">
        <v>53</v>
      </c>
      <c r="E325">
        <v>170</v>
      </c>
      <c r="F325">
        <v>100</v>
      </c>
      <c r="G325">
        <v>27.73</v>
      </c>
      <c r="H325">
        <v>4713.43</v>
      </c>
    </row>
    <row r="326" spans="1:8" x14ac:dyDescent="0.2">
      <c r="A326" s="2">
        <v>44888</v>
      </c>
      <c r="B326">
        <v>86</v>
      </c>
      <c r="C326">
        <v>24</v>
      </c>
      <c r="D326">
        <v>71</v>
      </c>
      <c r="E326">
        <v>181</v>
      </c>
      <c r="F326">
        <v>94</v>
      </c>
      <c r="G326">
        <v>32.14</v>
      </c>
      <c r="H326">
        <v>5817.55</v>
      </c>
    </row>
    <row r="327" spans="1:8" x14ac:dyDescent="0.2">
      <c r="A327" s="2">
        <v>44889</v>
      </c>
      <c r="B327">
        <v>89</v>
      </c>
      <c r="C327">
        <v>34</v>
      </c>
      <c r="D327">
        <v>84</v>
      </c>
      <c r="E327">
        <v>207</v>
      </c>
      <c r="F327">
        <v>89</v>
      </c>
      <c r="G327">
        <v>27.78</v>
      </c>
      <c r="H327">
        <v>5751.49</v>
      </c>
    </row>
    <row r="328" spans="1:8" x14ac:dyDescent="0.2">
      <c r="A328" s="2">
        <v>44890</v>
      </c>
      <c r="B328">
        <v>176</v>
      </c>
      <c r="C328">
        <v>37</v>
      </c>
      <c r="D328">
        <v>78</v>
      </c>
      <c r="E328">
        <v>291</v>
      </c>
      <c r="F328">
        <v>95</v>
      </c>
      <c r="G328">
        <v>28.87</v>
      </c>
      <c r="H328">
        <v>8402.3799999999992</v>
      </c>
    </row>
    <row r="329" spans="1:8" x14ac:dyDescent="0.2">
      <c r="A329" s="2">
        <v>44891</v>
      </c>
      <c r="B329">
        <v>274</v>
      </c>
      <c r="C329">
        <v>69</v>
      </c>
      <c r="D329">
        <v>49</v>
      </c>
      <c r="E329">
        <v>392</v>
      </c>
      <c r="F329">
        <v>100</v>
      </c>
      <c r="G329">
        <v>18.350000000000001</v>
      </c>
      <c r="H329">
        <v>7192.05</v>
      </c>
    </row>
    <row r="330" spans="1:8" x14ac:dyDescent="0.2">
      <c r="A330" s="2">
        <v>44892</v>
      </c>
      <c r="B330">
        <v>109</v>
      </c>
      <c r="C330">
        <v>50</v>
      </c>
      <c r="D330">
        <v>68</v>
      </c>
      <c r="E330">
        <v>231</v>
      </c>
      <c r="F330">
        <v>91</v>
      </c>
      <c r="G330">
        <v>18.260000000000002</v>
      </c>
      <c r="H330">
        <v>4218.91</v>
      </c>
    </row>
    <row r="331" spans="1:8" x14ac:dyDescent="0.2">
      <c r="A331" s="2">
        <v>44893</v>
      </c>
      <c r="B331">
        <v>59</v>
      </c>
      <c r="C331">
        <v>36</v>
      </c>
      <c r="D331">
        <v>47</v>
      </c>
      <c r="E331">
        <v>142</v>
      </c>
      <c r="F331">
        <v>99</v>
      </c>
      <c r="G331">
        <v>23.07</v>
      </c>
      <c r="H331">
        <v>3275.76</v>
      </c>
    </row>
    <row r="332" spans="1:8" x14ac:dyDescent="0.2">
      <c r="A332" s="2">
        <v>44894</v>
      </c>
      <c r="B332">
        <v>42</v>
      </c>
      <c r="C332">
        <v>21</v>
      </c>
      <c r="D332">
        <v>65</v>
      </c>
      <c r="E332">
        <v>128</v>
      </c>
      <c r="F332">
        <v>93</v>
      </c>
      <c r="G332">
        <v>23.36</v>
      </c>
      <c r="H332">
        <v>2989.59</v>
      </c>
    </row>
    <row r="333" spans="1:8" x14ac:dyDescent="0.2">
      <c r="A333" s="2">
        <v>44895</v>
      </c>
      <c r="B333">
        <v>94</v>
      </c>
      <c r="C333">
        <v>23</v>
      </c>
      <c r="D333">
        <v>59</v>
      </c>
      <c r="E333">
        <v>176</v>
      </c>
      <c r="F333">
        <v>103</v>
      </c>
      <c r="G333">
        <v>24.94</v>
      </c>
      <c r="H333">
        <v>4388.75</v>
      </c>
    </row>
    <row r="334" spans="1:8" x14ac:dyDescent="0.2">
      <c r="A334" s="2">
        <v>44896</v>
      </c>
      <c r="B334">
        <v>113</v>
      </c>
      <c r="C334">
        <v>28</v>
      </c>
      <c r="D334">
        <v>49</v>
      </c>
      <c r="E334">
        <v>190</v>
      </c>
      <c r="F334">
        <v>106</v>
      </c>
      <c r="G334">
        <v>17.77</v>
      </c>
      <c r="H334">
        <v>3375.47</v>
      </c>
    </row>
    <row r="335" spans="1:8" x14ac:dyDescent="0.2">
      <c r="A335" s="2">
        <v>44897</v>
      </c>
      <c r="B335">
        <v>206</v>
      </c>
      <c r="C335">
        <v>32</v>
      </c>
      <c r="D335">
        <v>51</v>
      </c>
      <c r="E335">
        <v>291</v>
      </c>
      <c r="F335">
        <v>114</v>
      </c>
      <c r="G335">
        <v>16.13</v>
      </c>
      <c r="H335">
        <v>4693.9399999999996</v>
      </c>
    </row>
    <row r="336" spans="1:8" x14ac:dyDescent="0.2">
      <c r="A336" s="2">
        <v>44898</v>
      </c>
      <c r="B336">
        <v>365</v>
      </c>
      <c r="C336">
        <v>8</v>
      </c>
      <c r="D336">
        <v>52</v>
      </c>
      <c r="E336">
        <v>425</v>
      </c>
      <c r="F336">
        <v>107</v>
      </c>
      <c r="G336">
        <v>16.84</v>
      </c>
      <c r="H336">
        <v>7155.97</v>
      </c>
    </row>
    <row r="337" spans="1:8" x14ac:dyDescent="0.2">
      <c r="A337" s="2">
        <v>44899</v>
      </c>
      <c r="B337">
        <v>120</v>
      </c>
      <c r="C337">
        <v>61</v>
      </c>
      <c r="D337">
        <v>94</v>
      </c>
      <c r="E337">
        <v>277</v>
      </c>
      <c r="F337">
        <v>97</v>
      </c>
      <c r="G337">
        <v>19.16</v>
      </c>
      <c r="H337">
        <v>5306.68</v>
      </c>
    </row>
    <row r="338" spans="1:8" x14ac:dyDescent="0.2">
      <c r="A338" s="2">
        <v>44900</v>
      </c>
      <c r="B338">
        <v>86</v>
      </c>
      <c r="C338">
        <v>59</v>
      </c>
      <c r="D338">
        <v>80</v>
      </c>
      <c r="E338">
        <v>225</v>
      </c>
      <c r="F338">
        <v>97</v>
      </c>
      <c r="G338">
        <v>22.27</v>
      </c>
      <c r="H338">
        <v>5011.6899999999996</v>
      </c>
    </row>
    <row r="339" spans="1:8" x14ac:dyDescent="0.2">
      <c r="A339" s="2">
        <v>44901</v>
      </c>
      <c r="B339">
        <v>112</v>
      </c>
      <c r="C339">
        <v>45</v>
      </c>
      <c r="D339">
        <v>59</v>
      </c>
      <c r="E339">
        <v>216</v>
      </c>
      <c r="F339">
        <v>112</v>
      </c>
      <c r="G339">
        <v>24.27</v>
      </c>
      <c r="H339">
        <v>5241.55</v>
      </c>
    </row>
    <row r="340" spans="1:8" x14ac:dyDescent="0.2">
      <c r="A340" s="2">
        <v>44902</v>
      </c>
      <c r="B340">
        <v>84</v>
      </c>
      <c r="C340">
        <v>23</v>
      </c>
      <c r="D340">
        <v>55</v>
      </c>
      <c r="E340">
        <v>162</v>
      </c>
      <c r="F340">
        <v>101</v>
      </c>
      <c r="G340">
        <v>23.82</v>
      </c>
      <c r="H340">
        <v>3858.43</v>
      </c>
    </row>
    <row r="341" spans="1:8" x14ac:dyDescent="0.2">
      <c r="A341" s="2">
        <v>44903</v>
      </c>
      <c r="B341">
        <v>156</v>
      </c>
      <c r="C341">
        <v>39</v>
      </c>
      <c r="D341">
        <v>54</v>
      </c>
      <c r="E341">
        <v>249</v>
      </c>
      <c r="F341">
        <v>100</v>
      </c>
      <c r="G341">
        <v>19.05</v>
      </c>
      <c r="H341">
        <v>4742.97</v>
      </c>
    </row>
    <row r="342" spans="1:8" x14ac:dyDescent="0.2">
      <c r="A342" s="2">
        <v>44904</v>
      </c>
      <c r="B342">
        <v>253</v>
      </c>
      <c r="C342">
        <v>32</v>
      </c>
      <c r="D342">
        <v>45</v>
      </c>
      <c r="E342">
        <v>330</v>
      </c>
      <c r="F342">
        <v>108</v>
      </c>
      <c r="G342">
        <v>20.27</v>
      </c>
      <c r="H342">
        <v>6690.58</v>
      </c>
    </row>
    <row r="343" spans="1:8" x14ac:dyDescent="0.2">
      <c r="A343" s="2">
        <v>44905</v>
      </c>
      <c r="B343">
        <v>367</v>
      </c>
      <c r="C343">
        <v>27</v>
      </c>
      <c r="D343">
        <v>35</v>
      </c>
      <c r="E343">
        <v>429</v>
      </c>
      <c r="F343">
        <v>101</v>
      </c>
      <c r="G343">
        <v>19.98</v>
      </c>
      <c r="H343">
        <v>8569.69</v>
      </c>
    </row>
    <row r="344" spans="1:8" x14ac:dyDescent="0.2">
      <c r="A344" s="2">
        <v>44906</v>
      </c>
      <c r="B344">
        <v>179</v>
      </c>
      <c r="C344">
        <v>50</v>
      </c>
      <c r="D344">
        <v>63</v>
      </c>
      <c r="E344">
        <v>293</v>
      </c>
      <c r="F344">
        <v>97</v>
      </c>
      <c r="G344">
        <v>24.98</v>
      </c>
      <c r="H344">
        <v>7318.36</v>
      </c>
    </row>
    <row r="345" spans="1:8" x14ac:dyDescent="0.2">
      <c r="A345" s="2">
        <v>44907</v>
      </c>
      <c r="B345">
        <v>91</v>
      </c>
      <c r="C345">
        <v>27</v>
      </c>
      <c r="D345">
        <v>63</v>
      </c>
      <c r="E345">
        <v>181</v>
      </c>
      <c r="F345">
        <v>89</v>
      </c>
      <c r="G345">
        <v>29.49</v>
      </c>
      <c r="H345">
        <v>5337.16</v>
      </c>
    </row>
    <row r="346" spans="1:8" x14ac:dyDescent="0.2">
      <c r="A346" s="2">
        <v>44908</v>
      </c>
      <c r="B346">
        <v>66</v>
      </c>
      <c r="C346">
        <v>26</v>
      </c>
      <c r="D346">
        <v>58</v>
      </c>
      <c r="E346">
        <v>150</v>
      </c>
      <c r="F346">
        <v>109</v>
      </c>
      <c r="G346">
        <v>13.43</v>
      </c>
      <c r="H346">
        <v>2014.17</v>
      </c>
    </row>
    <row r="347" spans="1:8" x14ac:dyDescent="0.2">
      <c r="A347" s="2">
        <v>44909</v>
      </c>
      <c r="B347">
        <v>105</v>
      </c>
      <c r="C347">
        <v>19</v>
      </c>
      <c r="D347">
        <v>50</v>
      </c>
      <c r="E347">
        <v>174</v>
      </c>
      <c r="F347">
        <v>98</v>
      </c>
      <c r="G347">
        <v>17.559999999999999</v>
      </c>
      <c r="H347">
        <v>3056.18</v>
      </c>
    </row>
    <row r="348" spans="1:8" x14ac:dyDescent="0.2">
      <c r="A348" s="2">
        <v>44910</v>
      </c>
      <c r="B348">
        <v>154</v>
      </c>
      <c r="C348">
        <v>42</v>
      </c>
      <c r="D348">
        <v>64</v>
      </c>
      <c r="E348">
        <v>260</v>
      </c>
      <c r="F348">
        <v>104</v>
      </c>
      <c r="G348">
        <v>26.04</v>
      </c>
      <c r="H348">
        <v>6771.45</v>
      </c>
    </row>
    <row r="349" spans="1:8" x14ac:dyDescent="0.2">
      <c r="A349" s="2">
        <v>44911</v>
      </c>
      <c r="B349">
        <v>200</v>
      </c>
      <c r="C349">
        <v>28</v>
      </c>
      <c r="D349">
        <v>52</v>
      </c>
      <c r="E349">
        <v>280</v>
      </c>
      <c r="F349">
        <v>101</v>
      </c>
      <c r="G349">
        <v>33.479999999999997</v>
      </c>
      <c r="H349">
        <v>9373.16</v>
      </c>
    </row>
    <row r="350" spans="1:8" x14ac:dyDescent="0.2">
      <c r="A350" s="2">
        <v>44912</v>
      </c>
      <c r="B350">
        <v>258</v>
      </c>
      <c r="C350">
        <v>38</v>
      </c>
      <c r="D350">
        <v>94</v>
      </c>
      <c r="E350">
        <v>390</v>
      </c>
      <c r="F350">
        <v>99</v>
      </c>
      <c r="G350">
        <v>30.2</v>
      </c>
      <c r="H350">
        <v>11777.09</v>
      </c>
    </row>
    <row r="351" spans="1:8" x14ac:dyDescent="0.2">
      <c r="A351" s="2">
        <v>44913</v>
      </c>
      <c r="B351">
        <v>124</v>
      </c>
      <c r="C351">
        <v>39</v>
      </c>
      <c r="D351">
        <v>70</v>
      </c>
      <c r="E351">
        <v>236</v>
      </c>
      <c r="F351">
        <v>112</v>
      </c>
      <c r="G351">
        <v>17.2</v>
      </c>
      <c r="H351">
        <v>4058.76</v>
      </c>
    </row>
    <row r="352" spans="1:8" x14ac:dyDescent="0.2">
      <c r="A352" s="2">
        <v>44914</v>
      </c>
      <c r="B352">
        <v>152</v>
      </c>
      <c r="C352">
        <v>50</v>
      </c>
      <c r="D352">
        <v>91</v>
      </c>
      <c r="E352">
        <v>293</v>
      </c>
      <c r="F352">
        <v>88</v>
      </c>
      <c r="G352">
        <v>28.74</v>
      </c>
      <c r="H352">
        <v>8420.59</v>
      </c>
    </row>
    <row r="353" spans="1:8" x14ac:dyDescent="0.2">
      <c r="A353" s="2">
        <v>44915</v>
      </c>
      <c r="B353">
        <v>134</v>
      </c>
      <c r="C353">
        <v>50</v>
      </c>
      <c r="D353">
        <v>90</v>
      </c>
      <c r="E353">
        <v>274</v>
      </c>
      <c r="F353">
        <v>95</v>
      </c>
      <c r="G353">
        <v>16.739999999999998</v>
      </c>
      <c r="H353">
        <v>4587.66</v>
      </c>
    </row>
    <row r="354" spans="1:8" x14ac:dyDescent="0.2">
      <c r="A354" s="2">
        <v>44916</v>
      </c>
      <c r="B354">
        <v>123</v>
      </c>
      <c r="C354">
        <v>88</v>
      </c>
      <c r="D354">
        <v>90</v>
      </c>
      <c r="E354">
        <v>301</v>
      </c>
      <c r="F354">
        <v>97</v>
      </c>
      <c r="G354">
        <v>23.53</v>
      </c>
      <c r="H354">
        <v>7082.92</v>
      </c>
    </row>
    <row r="355" spans="1:8" x14ac:dyDescent="0.2">
      <c r="A355" s="2">
        <v>44917</v>
      </c>
      <c r="B355">
        <v>167</v>
      </c>
      <c r="C355">
        <v>57</v>
      </c>
      <c r="D355">
        <v>85</v>
      </c>
      <c r="E355">
        <v>309</v>
      </c>
      <c r="F355">
        <v>90</v>
      </c>
      <c r="G355">
        <v>27.91</v>
      </c>
      <c r="H355">
        <v>8624.48</v>
      </c>
    </row>
    <row r="356" spans="1:8" x14ac:dyDescent="0.2">
      <c r="A356" s="2">
        <v>44918</v>
      </c>
      <c r="B356">
        <v>174</v>
      </c>
      <c r="C356">
        <v>26</v>
      </c>
      <c r="D356">
        <v>59</v>
      </c>
      <c r="E356">
        <v>259</v>
      </c>
      <c r="F356">
        <v>95</v>
      </c>
      <c r="G356">
        <v>29.14</v>
      </c>
      <c r="H356">
        <v>7546.71</v>
      </c>
    </row>
    <row r="357" spans="1:8" x14ac:dyDescent="0.2">
      <c r="A357" s="2">
        <v>44919</v>
      </c>
      <c r="B357">
        <v>209</v>
      </c>
      <c r="C357">
        <v>26</v>
      </c>
      <c r="D357">
        <v>62</v>
      </c>
      <c r="E357">
        <v>297</v>
      </c>
      <c r="F357">
        <v>96</v>
      </c>
      <c r="G357">
        <v>28.87</v>
      </c>
      <c r="H357">
        <v>8575.19</v>
      </c>
    </row>
    <row r="358" spans="1:8" x14ac:dyDescent="0.2">
      <c r="A358" s="2">
        <v>44921</v>
      </c>
      <c r="B358">
        <v>2</v>
      </c>
      <c r="C358">
        <v>0</v>
      </c>
      <c r="D358">
        <v>0</v>
      </c>
      <c r="E358">
        <v>2</v>
      </c>
      <c r="F358">
        <v>120</v>
      </c>
      <c r="G358">
        <v>0</v>
      </c>
      <c r="H358">
        <v>0</v>
      </c>
    </row>
    <row r="359" spans="1:8" x14ac:dyDescent="0.2">
      <c r="A359" s="2">
        <v>44922</v>
      </c>
      <c r="B359">
        <v>123</v>
      </c>
      <c r="C359">
        <v>76</v>
      </c>
      <c r="D359">
        <v>102</v>
      </c>
      <c r="E359">
        <v>301</v>
      </c>
      <c r="F359">
        <v>95</v>
      </c>
      <c r="G359">
        <v>28.59</v>
      </c>
      <c r="H359">
        <v>8605.9699999999993</v>
      </c>
    </row>
    <row r="360" spans="1:8" x14ac:dyDescent="0.2">
      <c r="A360" s="2">
        <v>44923</v>
      </c>
      <c r="B360">
        <v>118</v>
      </c>
      <c r="C360">
        <v>63</v>
      </c>
      <c r="D360">
        <v>65</v>
      </c>
      <c r="E360">
        <v>246</v>
      </c>
      <c r="F360">
        <v>99</v>
      </c>
      <c r="G360">
        <v>29.73</v>
      </c>
      <c r="H360">
        <v>7314.8</v>
      </c>
    </row>
    <row r="361" spans="1:8" x14ac:dyDescent="0.2">
      <c r="A361" s="2">
        <v>44924</v>
      </c>
      <c r="B361">
        <v>144</v>
      </c>
      <c r="C361">
        <v>62</v>
      </c>
      <c r="D361">
        <v>98</v>
      </c>
      <c r="E361">
        <v>304</v>
      </c>
      <c r="F361">
        <v>89</v>
      </c>
      <c r="G361">
        <v>26.81</v>
      </c>
      <c r="H361">
        <v>8149.11</v>
      </c>
    </row>
    <row r="362" spans="1:8" x14ac:dyDescent="0.2">
      <c r="A362" s="2">
        <v>44925</v>
      </c>
      <c r="B362">
        <v>152</v>
      </c>
      <c r="C362">
        <v>36</v>
      </c>
      <c r="D362">
        <v>132</v>
      </c>
      <c r="E362">
        <v>320</v>
      </c>
      <c r="F362">
        <v>89</v>
      </c>
      <c r="G362">
        <v>30.88</v>
      </c>
      <c r="H362">
        <v>9881.4699999999993</v>
      </c>
    </row>
    <row r="363" spans="1:8" x14ac:dyDescent="0.2">
      <c r="A363" s="2">
        <v>44926</v>
      </c>
      <c r="B363">
        <v>299</v>
      </c>
      <c r="C363">
        <v>29</v>
      </c>
      <c r="D363">
        <v>51</v>
      </c>
      <c r="E363">
        <v>379</v>
      </c>
      <c r="F363">
        <v>93</v>
      </c>
      <c r="G363">
        <v>31.6</v>
      </c>
      <c r="H363">
        <v>11974.85</v>
      </c>
    </row>
    <row r="364" spans="1:8" x14ac:dyDescent="0.2">
      <c r="A364" s="2">
        <v>44928</v>
      </c>
      <c r="B364">
        <v>60</v>
      </c>
      <c r="C364">
        <v>35</v>
      </c>
      <c r="D364">
        <v>138</v>
      </c>
      <c r="E364">
        <v>233</v>
      </c>
      <c r="F364">
        <v>80</v>
      </c>
      <c r="G364">
        <v>25.34</v>
      </c>
      <c r="H364">
        <v>5904.3</v>
      </c>
    </row>
    <row r="365" spans="1:8" x14ac:dyDescent="0.2">
      <c r="A365" s="2">
        <v>44929</v>
      </c>
      <c r="B365">
        <v>29</v>
      </c>
      <c r="C365">
        <v>6</v>
      </c>
      <c r="D365">
        <v>61</v>
      </c>
      <c r="E365">
        <v>96</v>
      </c>
      <c r="F365">
        <v>79</v>
      </c>
      <c r="G365">
        <v>19.79</v>
      </c>
      <c r="H365">
        <v>1899.43</v>
      </c>
    </row>
    <row r="366" spans="1:8" x14ac:dyDescent="0.2">
      <c r="A366" s="2">
        <v>44930</v>
      </c>
      <c r="B366">
        <v>31</v>
      </c>
      <c r="C366">
        <v>6</v>
      </c>
      <c r="D366">
        <v>49</v>
      </c>
      <c r="E366">
        <v>86</v>
      </c>
      <c r="F366">
        <v>84</v>
      </c>
      <c r="G366">
        <v>28.59</v>
      </c>
      <c r="H366">
        <v>2458.77</v>
      </c>
    </row>
    <row r="367" spans="1:8" x14ac:dyDescent="0.2">
      <c r="A367" s="2">
        <v>44931</v>
      </c>
      <c r="B367">
        <v>29</v>
      </c>
      <c r="C367">
        <v>10</v>
      </c>
      <c r="D367">
        <v>61</v>
      </c>
      <c r="E367">
        <v>100</v>
      </c>
      <c r="F367">
        <v>91</v>
      </c>
      <c r="G367">
        <v>23.29</v>
      </c>
      <c r="H367">
        <v>2328.6799999999998</v>
      </c>
    </row>
    <row r="368" spans="1:8" x14ac:dyDescent="0.2">
      <c r="A368" s="2">
        <v>44932</v>
      </c>
      <c r="B368">
        <v>85</v>
      </c>
      <c r="C368">
        <v>12</v>
      </c>
      <c r="D368">
        <v>80</v>
      </c>
      <c r="E368">
        <v>177</v>
      </c>
      <c r="F368">
        <v>88</v>
      </c>
      <c r="G368">
        <v>31.24</v>
      </c>
      <c r="H368">
        <v>5529.28</v>
      </c>
    </row>
    <row r="369" spans="1:8" x14ac:dyDescent="0.2">
      <c r="A369" s="2">
        <v>44933</v>
      </c>
      <c r="B369">
        <v>133</v>
      </c>
      <c r="C369">
        <v>52</v>
      </c>
      <c r="D369">
        <v>63</v>
      </c>
      <c r="E369">
        <v>248</v>
      </c>
      <c r="F369">
        <v>91</v>
      </c>
      <c r="G369">
        <v>29.17</v>
      </c>
      <c r="H369">
        <v>7235.18</v>
      </c>
    </row>
    <row r="370" spans="1:8" x14ac:dyDescent="0.2">
      <c r="A370" s="2">
        <v>44934</v>
      </c>
      <c r="B370">
        <v>22</v>
      </c>
      <c r="C370">
        <v>18</v>
      </c>
      <c r="D370">
        <v>61</v>
      </c>
      <c r="E370">
        <v>101</v>
      </c>
      <c r="F370">
        <v>90</v>
      </c>
      <c r="G370">
        <v>26.84</v>
      </c>
      <c r="H370">
        <v>2711.01</v>
      </c>
    </row>
    <row r="371" spans="1:8" x14ac:dyDescent="0.2">
      <c r="A371" s="2">
        <v>44935</v>
      </c>
      <c r="B371">
        <v>9</v>
      </c>
      <c r="C371">
        <v>8</v>
      </c>
      <c r="D371">
        <v>45</v>
      </c>
      <c r="E371">
        <v>62</v>
      </c>
      <c r="F371">
        <v>91</v>
      </c>
      <c r="G371">
        <v>32.86</v>
      </c>
      <c r="H371">
        <v>2037.18</v>
      </c>
    </row>
    <row r="372" spans="1:8" x14ac:dyDescent="0.2">
      <c r="A372" s="2">
        <v>44936</v>
      </c>
      <c r="B372">
        <v>27</v>
      </c>
      <c r="C372">
        <v>8</v>
      </c>
      <c r="D372">
        <v>68</v>
      </c>
      <c r="E372">
        <v>103</v>
      </c>
      <c r="F372">
        <v>94</v>
      </c>
      <c r="G372">
        <v>26.51</v>
      </c>
      <c r="H372">
        <v>2730.17</v>
      </c>
    </row>
    <row r="373" spans="1:8" x14ac:dyDescent="0.2">
      <c r="A373" s="2">
        <v>44937</v>
      </c>
      <c r="B373">
        <v>29</v>
      </c>
      <c r="C373">
        <v>19</v>
      </c>
      <c r="D373">
        <v>69</v>
      </c>
      <c r="E373">
        <v>119</v>
      </c>
      <c r="F373">
        <v>90</v>
      </c>
      <c r="G373">
        <v>23.26</v>
      </c>
      <c r="H373">
        <v>2767.8</v>
      </c>
    </row>
    <row r="374" spans="1:8" x14ac:dyDescent="0.2">
      <c r="A374" s="2">
        <v>44938</v>
      </c>
      <c r="B374">
        <v>84</v>
      </c>
      <c r="C374">
        <v>6</v>
      </c>
      <c r="D374">
        <v>70</v>
      </c>
      <c r="E374">
        <v>160</v>
      </c>
      <c r="F374">
        <v>85</v>
      </c>
      <c r="G374">
        <v>23.22</v>
      </c>
      <c r="H374">
        <v>3715.68</v>
      </c>
    </row>
    <row r="375" spans="1:8" x14ac:dyDescent="0.2">
      <c r="A375" s="2">
        <v>44939</v>
      </c>
      <c r="B375">
        <v>133</v>
      </c>
      <c r="C375">
        <v>33</v>
      </c>
      <c r="D375">
        <v>45</v>
      </c>
      <c r="E375">
        <v>211</v>
      </c>
      <c r="F375">
        <v>96</v>
      </c>
      <c r="G375">
        <v>32.86</v>
      </c>
      <c r="H375">
        <v>6933.28</v>
      </c>
    </row>
    <row r="376" spans="1:8" x14ac:dyDescent="0.2">
      <c r="A376" s="2">
        <v>44940</v>
      </c>
      <c r="B376">
        <v>220</v>
      </c>
      <c r="C376">
        <v>39</v>
      </c>
      <c r="D376">
        <v>89</v>
      </c>
      <c r="E376">
        <v>348</v>
      </c>
      <c r="F376">
        <v>100</v>
      </c>
      <c r="G376">
        <v>30.98</v>
      </c>
      <c r="H376">
        <v>10780.52</v>
      </c>
    </row>
    <row r="377" spans="1:8" x14ac:dyDescent="0.2">
      <c r="A377" s="2">
        <v>44941</v>
      </c>
      <c r="B377">
        <v>53</v>
      </c>
      <c r="C377">
        <v>18</v>
      </c>
      <c r="D377">
        <v>61</v>
      </c>
      <c r="E377">
        <v>132</v>
      </c>
      <c r="F377">
        <v>88</v>
      </c>
      <c r="G377">
        <v>26.22</v>
      </c>
      <c r="H377">
        <v>3461.56</v>
      </c>
    </row>
    <row r="378" spans="1:8" x14ac:dyDescent="0.2">
      <c r="A378" s="2">
        <v>44942</v>
      </c>
      <c r="B378">
        <v>35</v>
      </c>
      <c r="C378">
        <v>14</v>
      </c>
      <c r="D378">
        <v>40</v>
      </c>
      <c r="E378">
        <v>89</v>
      </c>
      <c r="F378">
        <v>105</v>
      </c>
      <c r="G378">
        <v>23.94</v>
      </c>
      <c r="H378">
        <v>2130.61</v>
      </c>
    </row>
    <row r="379" spans="1:8" x14ac:dyDescent="0.2">
      <c r="A379" s="2">
        <v>44943</v>
      </c>
      <c r="B379">
        <v>43</v>
      </c>
      <c r="C379">
        <v>13</v>
      </c>
      <c r="D379">
        <v>55</v>
      </c>
      <c r="E379">
        <v>120</v>
      </c>
      <c r="F379">
        <v>95</v>
      </c>
      <c r="G379">
        <v>27.24</v>
      </c>
      <c r="H379">
        <v>3268.47</v>
      </c>
    </row>
    <row r="380" spans="1:8" x14ac:dyDescent="0.2">
      <c r="A380" s="2">
        <v>44944</v>
      </c>
      <c r="B380">
        <v>64</v>
      </c>
      <c r="C380">
        <v>17</v>
      </c>
      <c r="D380">
        <v>52</v>
      </c>
      <c r="E380">
        <v>133</v>
      </c>
      <c r="F380">
        <v>109</v>
      </c>
      <c r="G380">
        <v>28.69</v>
      </c>
      <c r="H380">
        <v>3815.64</v>
      </c>
    </row>
    <row r="381" spans="1:8" x14ac:dyDescent="0.2">
      <c r="A381" s="2">
        <v>44945</v>
      </c>
      <c r="B381">
        <v>93</v>
      </c>
      <c r="C381">
        <v>27</v>
      </c>
      <c r="D381">
        <v>48</v>
      </c>
      <c r="E381">
        <v>168</v>
      </c>
      <c r="F381">
        <v>96</v>
      </c>
      <c r="G381">
        <v>29.09</v>
      </c>
      <c r="H381">
        <v>4886.99</v>
      </c>
    </row>
    <row r="382" spans="1:8" x14ac:dyDescent="0.2">
      <c r="A382" s="2">
        <v>44946</v>
      </c>
      <c r="B382">
        <v>155</v>
      </c>
      <c r="C382">
        <v>24</v>
      </c>
      <c r="D382">
        <v>55</v>
      </c>
      <c r="E382">
        <v>234</v>
      </c>
      <c r="F382">
        <v>98</v>
      </c>
      <c r="G382">
        <v>30.37</v>
      </c>
      <c r="H382">
        <v>7106.93</v>
      </c>
    </row>
    <row r="383" spans="1:8" x14ac:dyDescent="0.2">
      <c r="A383" s="2">
        <v>44947</v>
      </c>
      <c r="B383">
        <v>245</v>
      </c>
      <c r="C383">
        <v>25</v>
      </c>
      <c r="D383">
        <v>75</v>
      </c>
      <c r="E383">
        <v>345</v>
      </c>
      <c r="F383">
        <v>96</v>
      </c>
      <c r="G383">
        <v>29.93</v>
      </c>
      <c r="H383">
        <v>10327.43</v>
      </c>
    </row>
    <row r="384" spans="1:8" x14ac:dyDescent="0.2">
      <c r="A384" s="2">
        <v>44948</v>
      </c>
      <c r="B384">
        <v>84</v>
      </c>
      <c r="C384">
        <v>42</v>
      </c>
      <c r="D384">
        <v>62</v>
      </c>
      <c r="E384">
        <v>188</v>
      </c>
      <c r="F384">
        <v>81</v>
      </c>
      <c r="G384">
        <v>25.72</v>
      </c>
      <c r="H384">
        <v>4834.97</v>
      </c>
    </row>
    <row r="385" spans="1:8" x14ac:dyDescent="0.2">
      <c r="A385" s="2">
        <v>44949</v>
      </c>
      <c r="B385">
        <v>42</v>
      </c>
      <c r="C385">
        <v>14</v>
      </c>
      <c r="D385">
        <v>73</v>
      </c>
      <c r="E385">
        <v>129</v>
      </c>
      <c r="F385">
        <v>87</v>
      </c>
      <c r="G385">
        <v>27.29</v>
      </c>
      <c r="H385">
        <v>3519.92</v>
      </c>
    </row>
    <row r="386" spans="1:8" x14ac:dyDescent="0.2">
      <c r="A386" s="2">
        <v>44950</v>
      </c>
      <c r="B386">
        <v>34</v>
      </c>
      <c r="C386">
        <v>18</v>
      </c>
      <c r="D386">
        <v>54</v>
      </c>
      <c r="E386">
        <v>106</v>
      </c>
      <c r="F386">
        <v>94</v>
      </c>
      <c r="G386">
        <v>31.58</v>
      </c>
      <c r="H386">
        <v>3347.24</v>
      </c>
    </row>
    <row r="387" spans="1:8" x14ac:dyDescent="0.2">
      <c r="A387" s="2">
        <v>44951</v>
      </c>
      <c r="B387">
        <v>37</v>
      </c>
      <c r="C387">
        <v>10</v>
      </c>
      <c r="D387">
        <v>51</v>
      </c>
      <c r="E387">
        <v>98</v>
      </c>
      <c r="F387">
        <v>97</v>
      </c>
      <c r="G387">
        <v>21.1</v>
      </c>
      <c r="H387">
        <v>2067.81</v>
      </c>
    </row>
    <row r="388" spans="1:8" x14ac:dyDescent="0.2">
      <c r="A388" s="2">
        <v>44952</v>
      </c>
      <c r="B388">
        <v>45</v>
      </c>
      <c r="C388">
        <v>21</v>
      </c>
      <c r="D388">
        <v>77</v>
      </c>
      <c r="E388">
        <v>143</v>
      </c>
      <c r="F388">
        <v>95</v>
      </c>
      <c r="G388">
        <v>32.99</v>
      </c>
      <c r="H388">
        <v>4717.79</v>
      </c>
    </row>
    <row r="389" spans="1:8" x14ac:dyDescent="0.2">
      <c r="A389" s="2">
        <v>44953</v>
      </c>
      <c r="B389">
        <v>131</v>
      </c>
      <c r="C389">
        <v>36</v>
      </c>
      <c r="D389">
        <v>69</v>
      </c>
      <c r="E389">
        <v>238</v>
      </c>
      <c r="F389">
        <v>98</v>
      </c>
      <c r="G389">
        <v>29.75</v>
      </c>
      <c r="H389">
        <v>7080.1</v>
      </c>
    </row>
    <row r="390" spans="1:8" x14ac:dyDescent="0.2">
      <c r="A390" s="2">
        <v>44954</v>
      </c>
      <c r="B390">
        <v>234</v>
      </c>
      <c r="C390">
        <v>49</v>
      </c>
      <c r="D390">
        <v>119</v>
      </c>
      <c r="E390">
        <v>412</v>
      </c>
      <c r="F390">
        <v>97</v>
      </c>
      <c r="G390">
        <v>27.25</v>
      </c>
      <c r="H390">
        <v>11226.91</v>
      </c>
    </row>
    <row r="391" spans="1:8" x14ac:dyDescent="0.2">
      <c r="A391" s="2">
        <v>44955</v>
      </c>
      <c r="B391">
        <v>54</v>
      </c>
      <c r="C391">
        <v>44</v>
      </c>
      <c r="D391">
        <v>61</v>
      </c>
      <c r="E391">
        <v>164</v>
      </c>
      <c r="F391">
        <v>89</v>
      </c>
      <c r="G391">
        <v>20.51</v>
      </c>
      <c r="H391">
        <v>3364.09</v>
      </c>
    </row>
    <row r="392" spans="1:8" x14ac:dyDescent="0.2">
      <c r="A392" s="2">
        <v>44956</v>
      </c>
      <c r="B392">
        <v>14</v>
      </c>
      <c r="C392">
        <v>2</v>
      </c>
      <c r="D392">
        <v>12</v>
      </c>
      <c r="E392">
        <v>28</v>
      </c>
      <c r="F392">
        <v>77</v>
      </c>
      <c r="G392">
        <v>29.83</v>
      </c>
      <c r="H392">
        <v>835.27</v>
      </c>
    </row>
    <row r="393" spans="1:8" x14ac:dyDescent="0.2">
      <c r="A393" s="2">
        <v>44957</v>
      </c>
      <c r="B393">
        <v>31</v>
      </c>
      <c r="C393">
        <v>23</v>
      </c>
      <c r="D393">
        <v>70</v>
      </c>
      <c r="E393">
        <v>124</v>
      </c>
      <c r="F393">
        <v>78</v>
      </c>
      <c r="G393">
        <v>28.95</v>
      </c>
      <c r="H393">
        <v>3589.49</v>
      </c>
    </row>
    <row r="394" spans="1:8" x14ac:dyDescent="0.2">
      <c r="A394" s="2">
        <v>44958</v>
      </c>
      <c r="B394">
        <v>23</v>
      </c>
      <c r="C394">
        <v>16</v>
      </c>
      <c r="D394">
        <v>68</v>
      </c>
      <c r="E394">
        <v>107</v>
      </c>
      <c r="F394">
        <v>96</v>
      </c>
      <c r="G394">
        <v>23.87</v>
      </c>
      <c r="H394">
        <v>2553.98</v>
      </c>
    </row>
    <row r="395" spans="1:8" x14ac:dyDescent="0.2">
      <c r="A395" s="2">
        <v>44959</v>
      </c>
      <c r="B395">
        <v>104</v>
      </c>
      <c r="C395">
        <v>17</v>
      </c>
      <c r="D395">
        <v>31</v>
      </c>
      <c r="E395">
        <v>152</v>
      </c>
      <c r="F395">
        <v>103</v>
      </c>
      <c r="G395">
        <v>25</v>
      </c>
      <c r="H395">
        <v>3799.35</v>
      </c>
    </row>
    <row r="396" spans="1:8" x14ac:dyDescent="0.2">
      <c r="A396" s="2">
        <v>44960</v>
      </c>
      <c r="B396">
        <v>91</v>
      </c>
      <c r="C396">
        <v>29</v>
      </c>
      <c r="D396">
        <v>98</v>
      </c>
      <c r="E396">
        <v>220</v>
      </c>
      <c r="F396">
        <v>89</v>
      </c>
      <c r="G396">
        <v>31.91</v>
      </c>
      <c r="H396">
        <v>7020.86</v>
      </c>
    </row>
    <row r="397" spans="1:8" x14ac:dyDescent="0.2">
      <c r="A397" s="2">
        <v>44961</v>
      </c>
      <c r="B397">
        <v>293</v>
      </c>
      <c r="C397">
        <v>37</v>
      </c>
      <c r="D397">
        <v>91</v>
      </c>
      <c r="E397">
        <v>421</v>
      </c>
      <c r="F397">
        <v>96</v>
      </c>
      <c r="G397">
        <v>30.84</v>
      </c>
      <c r="H397">
        <v>12983.27</v>
      </c>
    </row>
    <row r="398" spans="1:8" x14ac:dyDescent="0.2">
      <c r="A398" s="2">
        <v>44962</v>
      </c>
      <c r="B398">
        <v>57</v>
      </c>
      <c r="C398">
        <v>29</v>
      </c>
      <c r="D398">
        <v>92</v>
      </c>
      <c r="E398">
        <v>178</v>
      </c>
      <c r="F398">
        <v>90</v>
      </c>
      <c r="G398">
        <v>23.77</v>
      </c>
      <c r="H398">
        <v>4230.82</v>
      </c>
    </row>
    <row r="399" spans="1:8" x14ac:dyDescent="0.2">
      <c r="A399" s="2">
        <v>44963</v>
      </c>
      <c r="B399">
        <v>42</v>
      </c>
      <c r="C399">
        <v>12</v>
      </c>
      <c r="D399">
        <v>39</v>
      </c>
      <c r="E399">
        <v>93</v>
      </c>
      <c r="F399">
        <v>89</v>
      </c>
      <c r="G399">
        <v>26.84</v>
      </c>
      <c r="H399">
        <v>2495.91</v>
      </c>
    </row>
    <row r="400" spans="1:8" x14ac:dyDescent="0.2">
      <c r="A400" s="2">
        <v>44964</v>
      </c>
      <c r="B400">
        <v>40</v>
      </c>
      <c r="C400">
        <v>18</v>
      </c>
      <c r="D400">
        <v>61</v>
      </c>
      <c r="E400">
        <v>119</v>
      </c>
      <c r="F400">
        <v>97</v>
      </c>
      <c r="G400">
        <v>28.68</v>
      </c>
      <c r="H400">
        <v>3413.48</v>
      </c>
    </row>
    <row r="401" spans="1:8" x14ac:dyDescent="0.2">
      <c r="A401" s="2">
        <v>44965</v>
      </c>
      <c r="B401">
        <v>68</v>
      </c>
      <c r="C401">
        <v>15</v>
      </c>
      <c r="D401">
        <v>58</v>
      </c>
      <c r="E401">
        <v>141</v>
      </c>
      <c r="F401">
        <v>99</v>
      </c>
      <c r="G401">
        <v>23.81</v>
      </c>
      <c r="H401">
        <v>3357.81</v>
      </c>
    </row>
    <row r="402" spans="1:8" x14ac:dyDescent="0.2">
      <c r="A402" s="2">
        <v>44966</v>
      </c>
      <c r="B402">
        <v>55</v>
      </c>
      <c r="C402">
        <v>31</v>
      </c>
      <c r="D402">
        <v>57</v>
      </c>
      <c r="E402">
        <v>143</v>
      </c>
      <c r="F402">
        <v>88</v>
      </c>
      <c r="G402">
        <v>32.92</v>
      </c>
      <c r="H402">
        <v>4708.2299999999996</v>
      </c>
    </row>
    <row r="403" spans="1:8" x14ac:dyDescent="0.2">
      <c r="A403" s="2">
        <v>44967</v>
      </c>
      <c r="B403">
        <v>127</v>
      </c>
      <c r="C403">
        <v>24</v>
      </c>
      <c r="D403">
        <v>77</v>
      </c>
      <c r="E403">
        <v>228</v>
      </c>
      <c r="F403">
        <v>92</v>
      </c>
      <c r="G403">
        <v>30.83</v>
      </c>
      <c r="H403">
        <v>7028.82</v>
      </c>
    </row>
    <row r="404" spans="1:8" x14ac:dyDescent="0.2">
      <c r="A404" s="2">
        <v>44968</v>
      </c>
      <c r="B404">
        <v>219</v>
      </c>
      <c r="C404">
        <v>44</v>
      </c>
      <c r="D404">
        <v>101</v>
      </c>
      <c r="E404">
        <v>364</v>
      </c>
      <c r="F404">
        <v>94</v>
      </c>
      <c r="G404">
        <v>29.62</v>
      </c>
      <c r="H404">
        <v>10782.3</v>
      </c>
    </row>
    <row r="405" spans="1:8" x14ac:dyDescent="0.2">
      <c r="A405" s="2">
        <v>44969</v>
      </c>
      <c r="B405">
        <v>93</v>
      </c>
      <c r="C405">
        <v>42</v>
      </c>
      <c r="D405">
        <v>83</v>
      </c>
      <c r="E405">
        <v>220</v>
      </c>
      <c r="F405">
        <v>89</v>
      </c>
      <c r="G405">
        <v>26.59</v>
      </c>
      <c r="H405">
        <v>5849.74</v>
      </c>
    </row>
    <row r="406" spans="1:8" x14ac:dyDescent="0.2">
      <c r="A406" s="2">
        <v>44970</v>
      </c>
      <c r="B406">
        <v>74</v>
      </c>
      <c r="C406">
        <v>38</v>
      </c>
      <c r="D406">
        <v>70</v>
      </c>
      <c r="E406">
        <v>182</v>
      </c>
      <c r="F406">
        <v>90</v>
      </c>
      <c r="G406">
        <v>20.68</v>
      </c>
      <c r="H406">
        <v>3763.86</v>
      </c>
    </row>
    <row r="407" spans="1:8" x14ac:dyDescent="0.2">
      <c r="A407" s="2">
        <v>44971</v>
      </c>
      <c r="B407">
        <v>141</v>
      </c>
      <c r="C407">
        <v>32</v>
      </c>
      <c r="D407">
        <v>109</v>
      </c>
      <c r="E407">
        <v>282</v>
      </c>
      <c r="F407">
        <v>93</v>
      </c>
      <c r="G407">
        <v>30.74</v>
      </c>
      <c r="H407">
        <v>8668.91</v>
      </c>
    </row>
    <row r="408" spans="1:8" x14ac:dyDescent="0.2">
      <c r="A408" s="2">
        <v>44972</v>
      </c>
      <c r="B408">
        <v>88</v>
      </c>
      <c r="C408">
        <v>30</v>
      </c>
      <c r="D408">
        <v>67</v>
      </c>
      <c r="E408">
        <v>185</v>
      </c>
      <c r="F408">
        <v>100</v>
      </c>
      <c r="G408">
        <v>21.91</v>
      </c>
      <c r="H408">
        <v>4052.48</v>
      </c>
    </row>
    <row r="409" spans="1:8" x14ac:dyDescent="0.2">
      <c r="A409" s="2">
        <v>44973</v>
      </c>
      <c r="B409">
        <v>118</v>
      </c>
      <c r="C409">
        <v>51</v>
      </c>
      <c r="D409">
        <v>75</v>
      </c>
      <c r="E409">
        <v>244</v>
      </c>
      <c r="F409">
        <v>93</v>
      </c>
      <c r="G409">
        <v>27.84</v>
      </c>
      <c r="H409">
        <v>6794.1</v>
      </c>
    </row>
    <row r="410" spans="1:8" x14ac:dyDescent="0.2">
      <c r="A410" s="2">
        <v>44974</v>
      </c>
      <c r="B410">
        <v>163</v>
      </c>
      <c r="C410">
        <v>28</v>
      </c>
      <c r="D410">
        <v>65</v>
      </c>
      <c r="E410">
        <v>256</v>
      </c>
      <c r="F410">
        <v>86</v>
      </c>
      <c r="G410">
        <v>31.64</v>
      </c>
      <c r="H410">
        <v>8100.45</v>
      </c>
    </row>
    <row r="411" spans="1:8" x14ac:dyDescent="0.2">
      <c r="A411" s="2">
        <v>44975</v>
      </c>
      <c r="B411">
        <v>249</v>
      </c>
      <c r="C411">
        <v>55</v>
      </c>
      <c r="D411">
        <v>86</v>
      </c>
      <c r="E411">
        <v>390</v>
      </c>
      <c r="F411">
        <v>98</v>
      </c>
      <c r="G411">
        <v>30.34</v>
      </c>
      <c r="H411">
        <v>11831.94</v>
      </c>
    </row>
    <row r="412" spans="1:8" x14ac:dyDescent="0.2">
      <c r="A412" s="2">
        <v>44976</v>
      </c>
      <c r="B412">
        <v>38</v>
      </c>
      <c r="C412">
        <v>57</v>
      </c>
      <c r="D412">
        <v>104</v>
      </c>
      <c r="E412">
        <v>199</v>
      </c>
      <c r="F412">
        <v>85</v>
      </c>
      <c r="G412">
        <v>24.87</v>
      </c>
      <c r="H412">
        <v>4950.04</v>
      </c>
    </row>
    <row r="413" spans="1:8" x14ac:dyDescent="0.2">
      <c r="A413" s="2">
        <v>44977</v>
      </c>
      <c r="B413">
        <v>106</v>
      </c>
      <c r="C413">
        <v>24</v>
      </c>
      <c r="D413">
        <v>63</v>
      </c>
      <c r="E413">
        <v>204</v>
      </c>
      <c r="F413">
        <v>91</v>
      </c>
      <c r="G413">
        <v>27.52</v>
      </c>
      <c r="H413">
        <v>5613.45</v>
      </c>
    </row>
    <row r="414" spans="1:8" x14ac:dyDescent="0.2">
      <c r="A414" s="2">
        <v>44978</v>
      </c>
      <c r="B414">
        <v>29</v>
      </c>
      <c r="C414">
        <v>28</v>
      </c>
      <c r="D414">
        <v>72</v>
      </c>
      <c r="E414">
        <v>131</v>
      </c>
      <c r="F414">
        <v>85</v>
      </c>
      <c r="G414">
        <v>31.58</v>
      </c>
      <c r="H414">
        <v>4137.54</v>
      </c>
    </row>
    <row r="415" spans="1:8" x14ac:dyDescent="0.2">
      <c r="A415" s="2">
        <v>44979</v>
      </c>
      <c r="B415">
        <v>60</v>
      </c>
      <c r="C415">
        <v>38</v>
      </c>
      <c r="D415">
        <v>67</v>
      </c>
      <c r="E415">
        <v>165</v>
      </c>
      <c r="F415">
        <v>93</v>
      </c>
      <c r="G415">
        <v>19.98</v>
      </c>
      <c r="H415">
        <v>3296.53</v>
      </c>
    </row>
    <row r="416" spans="1:8" x14ac:dyDescent="0.2">
      <c r="A416" s="2">
        <v>44980</v>
      </c>
      <c r="B416">
        <v>88</v>
      </c>
      <c r="C416">
        <v>13</v>
      </c>
      <c r="D416">
        <v>68</v>
      </c>
      <c r="E416">
        <v>169</v>
      </c>
      <c r="F416">
        <v>106</v>
      </c>
      <c r="G416">
        <v>20.3</v>
      </c>
      <c r="H416">
        <v>3430.3</v>
      </c>
    </row>
    <row r="417" spans="1:8" x14ac:dyDescent="0.2">
      <c r="A417" s="2">
        <v>44981</v>
      </c>
      <c r="B417">
        <v>162</v>
      </c>
      <c r="C417">
        <v>31</v>
      </c>
      <c r="D417">
        <v>80</v>
      </c>
      <c r="E417">
        <v>273</v>
      </c>
      <c r="F417">
        <v>95</v>
      </c>
      <c r="G417">
        <v>30.91</v>
      </c>
      <c r="H417">
        <v>8439.14</v>
      </c>
    </row>
    <row r="418" spans="1:8" x14ac:dyDescent="0.2">
      <c r="A418" s="2">
        <v>44982</v>
      </c>
      <c r="B418">
        <v>277</v>
      </c>
      <c r="C418">
        <v>34</v>
      </c>
      <c r="D418">
        <v>92</v>
      </c>
      <c r="E418">
        <v>409</v>
      </c>
      <c r="F418">
        <v>95</v>
      </c>
      <c r="G418">
        <v>30.26</v>
      </c>
      <c r="H418">
        <v>12374.99</v>
      </c>
    </row>
    <row r="419" spans="1:8" x14ac:dyDescent="0.2">
      <c r="A419" s="2">
        <v>44983</v>
      </c>
      <c r="B419">
        <v>69</v>
      </c>
      <c r="C419">
        <v>32</v>
      </c>
      <c r="D419">
        <v>98</v>
      </c>
      <c r="E419">
        <v>199</v>
      </c>
      <c r="F419">
        <v>82</v>
      </c>
      <c r="G419">
        <v>24.25</v>
      </c>
      <c r="H419">
        <v>4825.7700000000004</v>
      </c>
    </row>
    <row r="420" spans="1:8" x14ac:dyDescent="0.2">
      <c r="A420" s="2">
        <v>44984</v>
      </c>
      <c r="B420">
        <v>81</v>
      </c>
      <c r="C420">
        <v>13</v>
      </c>
      <c r="D420">
        <v>39</v>
      </c>
      <c r="E420">
        <v>133</v>
      </c>
      <c r="F420">
        <v>102</v>
      </c>
      <c r="G420">
        <v>27.07</v>
      </c>
      <c r="H420">
        <v>3599.75</v>
      </c>
    </row>
    <row r="421" spans="1:8" x14ac:dyDescent="0.2">
      <c r="A421" s="2">
        <v>44985</v>
      </c>
      <c r="B421">
        <v>30</v>
      </c>
      <c r="C421">
        <v>14</v>
      </c>
      <c r="D421">
        <v>57</v>
      </c>
      <c r="E421">
        <v>101</v>
      </c>
      <c r="F421">
        <v>89</v>
      </c>
      <c r="G421">
        <v>33.03</v>
      </c>
      <c r="H421">
        <v>3336.39</v>
      </c>
    </row>
    <row r="422" spans="1:8" x14ac:dyDescent="0.2">
      <c r="A422" s="2">
        <v>44986</v>
      </c>
      <c r="B422">
        <v>41</v>
      </c>
      <c r="C422">
        <v>15</v>
      </c>
      <c r="D422">
        <v>60</v>
      </c>
      <c r="E422">
        <v>116</v>
      </c>
      <c r="F422">
        <v>97</v>
      </c>
      <c r="G422">
        <v>27.01</v>
      </c>
      <c r="H422">
        <v>3133.27</v>
      </c>
    </row>
    <row r="423" spans="1:8" x14ac:dyDescent="0.2">
      <c r="A423" s="2">
        <v>44987</v>
      </c>
      <c r="B423">
        <v>74</v>
      </c>
      <c r="C423">
        <v>17</v>
      </c>
      <c r="D423">
        <v>50</v>
      </c>
      <c r="E423">
        <v>141</v>
      </c>
      <c r="F423">
        <v>94</v>
      </c>
      <c r="G423">
        <v>30.41</v>
      </c>
      <c r="H423">
        <v>4287.24</v>
      </c>
    </row>
    <row r="424" spans="1:8" x14ac:dyDescent="0.2">
      <c r="A424" s="2">
        <v>44988</v>
      </c>
      <c r="B424">
        <v>120</v>
      </c>
      <c r="C424">
        <v>29</v>
      </c>
      <c r="D424">
        <v>64</v>
      </c>
      <c r="E424">
        <v>213</v>
      </c>
      <c r="F424">
        <v>102</v>
      </c>
      <c r="G424">
        <v>32.64</v>
      </c>
      <c r="H424">
        <v>6951.69</v>
      </c>
    </row>
    <row r="425" spans="1:8" x14ac:dyDescent="0.2">
      <c r="A425" s="2">
        <v>44989</v>
      </c>
      <c r="B425">
        <v>242</v>
      </c>
      <c r="C425">
        <v>45</v>
      </c>
      <c r="D425">
        <v>86</v>
      </c>
      <c r="E425">
        <v>373</v>
      </c>
      <c r="F425">
        <v>95</v>
      </c>
      <c r="G425">
        <v>28.42</v>
      </c>
      <c r="H425">
        <v>10601.87</v>
      </c>
    </row>
    <row r="426" spans="1:8" x14ac:dyDescent="0.2">
      <c r="A426" s="2">
        <v>44990</v>
      </c>
      <c r="B426">
        <v>88</v>
      </c>
      <c r="C426">
        <v>18</v>
      </c>
      <c r="D426">
        <v>77</v>
      </c>
      <c r="E426">
        <v>183</v>
      </c>
      <c r="F426">
        <v>83</v>
      </c>
      <c r="G426">
        <v>27.98</v>
      </c>
      <c r="H426">
        <v>5119.45</v>
      </c>
    </row>
    <row r="427" spans="1:8" x14ac:dyDescent="0.2">
      <c r="A427" s="2">
        <v>44991</v>
      </c>
      <c r="B427">
        <v>75</v>
      </c>
      <c r="C427">
        <v>16</v>
      </c>
      <c r="D427">
        <v>43</v>
      </c>
      <c r="E427">
        <v>134</v>
      </c>
      <c r="F427">
        <v>84</v>
      </c>
      <c r="G427">
        <v>22.49</v>
      </c>
      <c r="H427">
        <v>3013.14</v>
      </c>
    </row>
    <row r="428" spans="1:8" x14ac:dyDescent="0.2">
      <c r="A428" s="2">
        <v>44992</v>
      </c>
      <c r="B428">
        <v>90</v>
      </c>
      <c r="C428">
        <v>17</v>
      </c>
      <c r="D428">
        <v>81</v>
      </c>
      <c r="E428">
        <v>188</v>
      </c>
      <c r="F428">
        <v>85</v>
      </c>
      <c r="G428">
        <v>23.32</v>
      </c>
      <c r="H428">
        <v>4384.38</v>
      </c>
    </row>
    <row r="429" spans="1:8" x14ac:dyDescent="0.2">
      <c r="A429" s="2">
        <v>44993</v>
      </c>
      <c r="B429">
        <v>109</v>
      </c>
      <c r="C429">
        <v>33</v>
      </c>
      <c r="D429">
        <v>57</v>
      </c>
      <c r="E429">
        <v>199</v>
      </c>
      <c r="F429">
        <v>93</v>
      </c>
      <c r="G429">
        <v>17.13</v>
      </c>
      <c r="H429">
        <v>3409.3</v>
      </c>
    </row>
    <row r="430" spans="1:8" x14ac:dyDescent="0.2">
      <c r="A430" s="2">
        <v>44994</v>
      </c>
      <c r="B430">
        <v>124</v>
      </c>
      <c r="C430">
        <v>21</v>
      </c>
      <c r="D430">
        <v>52</v>
      </c>
      <c r="E430">
        <v>197</v>
      </c>
      <c r="F430">
        <v>86</v>
      </c>
      <c r="G430">
        <v>17.18</v>
      </c>
      <c r="H430">
        <v>3384.8</v>
      </c>
    </row>
    <row r="431" spans="1:8" x14ac:dyDescent="0.2">
      <c r="A431" s="2">
        <v>44995</v>
      </c>
      <c r="B431">
        <v>175</v>
      </c>
      <c r="C431">
        <v>36</v>
      </c>
      <c r="D431">
        <v>68</v>
      </c>
      <c r="E431">
        <v>279</v>
      </c>
      <c r="F431">
        <v>86</v>
      </c>
      <c r="G431">
        <v>21.21</v>
      </c>
      <c r="H431">
        <v>5916.67</v>
      </c>
    </row>
    <row r="432" spans="1:8" x14ac:dyDescent="0.2">
      <c r="A432" s="2">
        <v>44996</v>
      </c>
      <c r="B432">
        <v>294</v>
      </c>
      <c r="C432">
        <v>31</v>
      </c>
      <c r="D432">
        <v>66</v>
      </c>
      <c r="E432">
        <v>391</v>
      </c>
      <c r="F432">
        <v>99</v>
      </c>
      <c r="G432">
        <v>24.56</v>
      </c>
      <c r="H432">
        <v>9603.56</v>
      </c>
    </row>
    <row r="433" spans="1:8" x14ac:dyDescent="0.2">
      <c r="A433" s="2">
        <v>44997</v>
      </c>
      <c r="B433">
        <v>157</v>
      </c>
      <c r="C433">
        <v>30</v>
      </c>
      <c r="D433">
        <v>74</v>
      </c>
      <c r="E433">
        <v>261</v>
      </c>
      <c r="F433">
        <v>85</v>
      </c>
      <c r="G433">
        <v>19.77</v>
      </c>
      <c r="H433">
        <v>5161.13</v>
      </c>
    </row>
    <row r="434" spans="1:8" x14ac:dyDescent="0.2">
      <c r="A434" s="2">
        <v>44998</v>
      </c>
      <c r="B434">
        <v>43</v>
      </c>
      <c r="C434">
        <v>18</v>
      </c>
      <c r="D434">
        <v>58</v>
      </c>
      <c r="E434">
        <v>119</v>
      </c>
      <c r="F434">
        <v>84</v>
      </c>
      <c r="G434">
        <v>24.12</v>
      </c>
      <c r="H434">
        <v>2869.74</v>
      </c>
    </row>
    <row r="435" spans="1:8" x14ac:dyDescent="0.2">
      <c r="A435" s="2">
        <v>44999</v>
      </c>
      <c r="B435">
        <v>19</v>
      </c>
      <c r="C435">
        <v>7</v>
      </c>
      <c r="D435">
        <v>59</v>
      </c>
      <c r="E435">
        <v>85</v>
      </c>
      <c r="F435">
        <v>67</v>
      </c>
      <c r="G435">
        <v>19.690000000000001</v>
      </c>
      <c r="H435">
        <v>1673.83</v>
      </c>
    </row>
    <row r="436" spans="1:8" x14ac:dyDescent="0.2">
      <c r="A436" s="2">
        <v>45000</v>
      </c>
      <c r="B436">
        <v>28</v>
      </c>
      <c r="C436">
        <v>26</v>
      </c>
      <c r="D436">
        <v>59</v>
      </c>
      <c r="E436">
        <v>113</v>
      </c>
      <c r="F436">
        <v>91</v>
      </c>
      <c r="G436">
        <v>27.94</v>
      </c>
      <c r="H436">
        <v>3157.46</v>
      </c>
    </row>
    <row r="437" spans="1:8" x14ac:dyDescent="0.2">
      <c r="A437" s="2">
        <v>45001</v>
      </c>
      <c r="B437">
        <v>36</v>
      </c>
      <c r="C437">
        <v>19</v>
      </c>
      <c r="D437">
        <v>45</v>
      </c>
      <c r="E437">
        <v>100</v>
      </c>
      <c r="F437">
        <v>89</v>
      </c>
      <c r="G437">
        <v>29.62</v>
      </c>
      <c r="H437">
        <v>2962.32</v>
      </c>
    </row>
    <row r="438" spans="1:8" x14ac:dyDescent="0.2">
      <c r="A438" s="2">
        <v>45002</v>
      </c>
      <c r="B438">
        <v>128</v>
      </c>
      <c r="C438">
        <v>29</v>
      </c>
      <c r="D438">
        <v>60</v>
      </c>
      <c r="E438">
        <v>217</v>
      </c>
      <c r="F438">
        <v>90</v>
      </c>
      <c r="G438">
        <v>25.59</v>
      </c>
      <c r="H438">
        <v>5553.53</v>
      </c>
    </row>
    <row r="439" spans="1:8" x14ac:dyDescent="0.2">
      <c r="A439" s="2">
        <v>45003</v>
      </c>
      <c r="B439">
        <v>254</v>
      </c>
      <c r="C439">
        <v>32</v>
      </c>
      <c r="D439">
        <v>98</v>
      </c>
      <c r="E439">
        <v>386</v>
      </c>
      <c r="F439">
        <v>95</v>
      </c>
      <c r="G439">
        <v>22.39</v>
      </c>
      <c r="H439">
        <v>8643.4699999999993</v>
      </c>
    </row>
    <row r="440" spans="1:8" x14ac:dyDescent="0.2">
      <c r="A440" s="2">
        <v>45004</v>
      </c>
      <c r="B440">
        <v>246</v>
      </c>
      <c r="C440">
        <v>17</v>
      </c>
      <c r="D440">
        <v>41</v>
      </c>
      <c r="E440">
        <v>304</v>
      </c>
      <c r="F440">
        <v>94</v>
      </c>
      <c r="G440">
        <v>24.84</v>
      </c>
      <c r="H440">
        <v>7552.79</v>
      </c>
    </row>
    <row r="441" spans="1:8" x14ac:dyDescent="0.2">
      <c r="A441" s="2">
        <v>45005</v>
      </c>
      <c r="B441">
        <v>43</v>
      </c>
      <c r="C441">
        <v>44</v>
      </c>
      <c r="D441">
        <v>60</v>
      </c>
      <c r="E441">
        <v>147</v>
      </c>
      <c r="F441">
        <v>91</v>
      </c>
      <c r="G441">
        <v>25.78</v>
      </c>
      <c r="H441">
        <v>3789.28</v>
      </c>
    </row>
    <row r="442" spans="1:8" x14ac:dyDescent="0.2">
      <c r="A442" s="2">
        <v>45006</v>
      </c>
      <c r="B442">
        <v>39</v>
      </c>
      <c r="C442">
        <v>9</v>
      </c>
      <c r="D442">
        <v>69</v>
      </c>
      <c r="E442">
        <v>117</v>
      </c>
      <c r="F442">
        <v>87</v>
      </c>
      <c r="G442">
        <v>24.84</v>
      </c>
      <c r="H442">
        <v>2906.49</v>
      </c>
    </row>
    <row r="443" spans="1:8" x14ac:dyDescent="0.2">
      <c r="A443" s="2">
        <v>45007</v>
      </c>
      <c r="B443">
        <v>39</v>
      </c>
      <c r="C443">
        <v>15</v>
      </c>
      <c r="D443">
        <v>52</v>
      </c>
      <c r="E443">
        <v>108</v>
      </c>
      <c r="F443">
        <v>82</v>
      </c>
      <c r="G443">
        <v>17.2</v>
      </c>
      <c r="H443">
        <v>1857.59</v>
      </c>
    </row>
    <row r="444" spans="1:8" x14ac:dyDescent="0.2">
      <c r="A444" s="2">
        <v>45008</v>
      </c>
      <c r="B444">
        <v>65</v>
      </c>
      <c r="C444">
        <v>27</v>
      </c>
      <c r="D444">
        <v>59</v>
      </c>
      <c r="E444">
        <v>151</v>
      </c>
      <c r="F444">
        <v>85</v>
      </c>
      <c r="G444">
        <v>20.73</v>
      </c>
      <c r="H444">
        <v>3129.67</v>
      </c>
    </row>
    <row r="445" spans="1:8" x14ac:dyDescent="0.2">
      <c r="A445" s="2">
        <v>45009</v>
      </c>
      <c r="B445">
        <v>170</v>
      </c>
      <c r="C445">
        <v>19</v>
      </c>
      <c r="D445">
        <v>64</v>
      </c>
      <c r="E445">
        <v>253</v>
      </c>
      <c r="F445">
        <v>93</v>
      </c>
      <c r="G445">
        <v>18.670000000000002</v>
      </c>
      <c r="H445">
        <v>4724.22</v>
      </c>
    </row>
    <row r="446" spans="1:8" x14ac:dyDescent="0.2">
      <c r="A446" s="2">
        <v>45010</v>
      </c>
      <c r="B446">
        <v>267</v>
      </c>
      <c r="C446">
        <v>37</v>
      </c>
      <c r="D446">
        <v>93</v>
      </c>
      <c r="E446">
        <v>397</v>
      </c>
      <c r="F446">
        <v>92</v>
      </c>
      <c r="G446">
        <v>25.83</v>
      </c>
      <c r="H446">
        <v>10255.15</v>
      </c>
    </row>
    <row r="447" spans="1:8" x14ac:dyDescent="0.2">
      <c r="A447" s="2">
        <v>45011</v>
      </c>
      <c r="B447">
        <v>67</v>
      </c>
      <c r="C447">
        <v>44</v>
      </c>
      <c r="D447">
        <v>54</v>
      </c>
      <c r="E447">
        <v>165</v>
      </c>
      <c r="F447">
        <v>81</v>
      </c>
      <c r="G447">
        <v>20.74</v>
      </c>
      <c r="H447">
        <v>3422.83</v>
      </c>
    </row>
    <row r="448" spans="1:8" x14ac:dyDescent="0.2">
      <c r="A448" s="2">
        <v>45012</v>
      </c>
      <c r="B448">
        <v>25</v>
      </c>
      <c r="C448">
        <v>31</v>
      </c>
      <c r="D448">
        <v>72</v>
      </c>
      <c r="E448">
        <v>128</v>
      </c>
      <c r="F448">
        <v>85</v>
      </c>
      <c r="G448">
        <v>15.64</v>
      </c>
      <c r="H448">
        <v>2002.07</v>
      </c>
    </row>
    <row r="449" spans="1:8" x14ac:dyDescent="0.2">
      <c r="A449" s="2">
        <v>45013</v>
      </c>
      <c r="B449">
        <v>62</v>
      </c>
      <c r="C449">
        <v>27</v>
      </c>
      <c r="D449">
        <v>71</v>
      </c>
      <c r="E449">
        <v>160</v>
      </c>
      <c r="F449">
        <v>81</v>
      </c>
      <c r="G449">
        <v>16.91</v>
      </c>
      <c r="H449">
        <v>2706.03</v>
      </c>
    </row>
    <row r="450" spans="1:8" x14ac:dyDescent="0.2">
      <c r="A450" s="2">
        <v>45014</v>
      </c>
      <c r="B450">
        <v>37</v>
      </c>
      <c r="C450">
        <v>21</v>
      </c>
      <c r="D450">
        <v>72</v>
      </c>
      <c r="E450">
        <v>130</v>
      </c>
      <c r="F450">
        <v>93</v>
      </c>
      <c r="G450">
        <v>20.2</v>
      </c>
      <c r="H450">
        <v>2625.59</v>
      </c>
    </row>
    <row r="451" spans="1:8" x14ac:dyDescent="0.2">
      <c r="A451" s="2">
        <v>45015</v>
      </c>
      <c r="B451">
        <v>54</v>
      </c>
      <c r="C451">
        <v>23</v>
      </c>
      <c r="D451">
        <v>74</v>
      </c>
      <c r="E451">
        <v>153</v>
      </c>
      <c r="F451">
        <v>79</v>
      </c>
      <c r="G451">
        <v>22.9</v>
      </c>
      <c r="H451">
        <v>3503.05</v>
      </c>
    </row>
    <row r="452" spans="1:8" x14ac:dyDescent="0.2">
      <c r="A452" s="2">
        <v>45016</v>
      </c>
      <c r="B452">
        <v>135</v>
      </c>
      <c r="C452">
        <v>19</v>
      </c>
      <c r="D452">
        <v>41</v>
      </c>
      <c r="E452">
        <v>195</v>
      </c>
      <c r="F452">
        <v>84</v>
      </c>
      <c r="G452">
        <v>26.14</v>
      </c>
      <c r="H452">
        <v>5096.71</v>
      </c>
    </row>
    <row r="453" spans="1:8" x14ac:dyDescent="0.2">
      <c r="A453" s="2">
        <v>45017</v>
      </c>
      <c r="B453">
        <v>238</v>
      </c>
      <c r="C453">
        <v>44</v>
      </c>
      <c r="D453">
        <v>67</v>
      </c>
      <c r="E453">
        <v>351</v>
      </c>
      <c r="F453">
        <v>87</v>
      </c>
      <c r="G453">
        <v>22.48</v>
      </c>
      <c r="H453">
        <v>7890.65</v>
      </c>
    </row>
    <row r="454" spans="1:8" x14ac:dyDescent="0.2">
      <c r="A454" s="2">
        <v>45018</v>
      </c>
      <c r="B454">
        <v>82</v>
      </c>
      <c r="C454">
        <v>70</v>
      </c>
      <c r="D454">
        <v>69</v>
      </c>
      <c r="E454">
        <v>221</v>
      </c>
      <c r="F454">
        <v>76</v>
      </c>
      <c r="G454">
        <v>21.3</v>
      </c>
      <c r="H454">
        <v>4706.87</v>
      </c>
    </row>
    <row r="455" spans="1:8" x14ac:dyDescent="0.2">
      <c r="A455" s="2">
        <v>45019</v>
      </c>
      <c r="B455">
        <v>54</v>
      </c>
      <c r="C455">
        <v>45</v>
      </c>
      <c r="D455">
        <v>126</v>
      </c>
      <c r="E455">
        <v>225</v>
      </c>
      <c r="F455">
        <v>78</v>
      </c>
      <c r="G455">
        <v>23.04</v>
      </c>
      <c r="H455">
        <v>5184.62</v>
      </c>
    </row>
    <row r="456" spans="1:8" x14ac:dyDescent="0.2">
      <c r="A456" s="2">
        <v>45020</v>
      </c>
      <c r="B456">
        <v>96</v>
      </c>
      <c r="C456">
        <v>41</v>
      </c>
      <c r="D456">
        <v>92</v>
      </c>
      <c r="E456">
        <v>229</v>
      </c>
      <c r="F456">
        <v>88</v>
      </c>
      <c r="G456">
        <v>22.05</v>
      </c>
      <c r="H456">
        <v>5049.3</v>
      </c>
    </row>
    <row r="457" spans="1:8" x14ac:dyDescent="0.2">
      <c r="A457" s="2">
        <v>45021</v>
      </c>
      <c r="B457">
        <v>87</v>
      </c>
      <c r="C457">
        <v>24</v>
      </c>
      <c r="D457">
        <v>88</v>
      </c>
      <c r="E457">
        <v>199</v>
      </c>
      <c r="F457">
        <v>86</v>
      </c>
      <c r="G457">
        <v>20.96</v>
      </c>
      <c r="H457">
        <v>4171.24</v>
      </c>
    </row>
    <row r="458" spans="1:8" x14ac:dyDescent="0.2">
      <c r="A458" s="2">
        <v>45022</v>
      </c>
      <c r="B458">
        <v>102</v>
      </c>
      <c r="C458">
        <v>46</v>
      </c>
      <c r="D458">
        <v>96</v>
      </c>
      <c r="E458">
        <v>246</v>
      </c>
      <c r="F458">
        <v>87</v>
      </c>
      <c r="G458">
        <v>23.04</v>
      </c>
      <c r="H458">
        <v>5666.94</v>
      </c>
    </row>
    <row r="459" spans="1:8" x14ac:dyDescent="0.2">
      <c r="A459" s="2">
        <v>45023</v>
      </c>
      <c r="B459">
        <v>177</v>
      </c>
      <c r="C459">
        <v>42</v>
      </c>
      <c r="D459">
        <v>96</v>
      </c>
      <c r="E459">
        <v>315</v>
      </c>
      <c r="F459">
        <v>86</v>
      </c>
      <c r="G459">
        <v>22.61</v>
      </c>
      <c r="H459">
        <v>7122.08</v>
      </c>
    </row>
    <row r="460" spans="1:8" x14ac:dyDescent="0.2">
      <c r="A460" s="2">
        <v>45024</v>
      </c>
      <c r="B460">
        <v>209</v>
      </c>
      <c r="C460">
        <v>45</v>
      </c>
      <c r="D460">
        <v>104</v>
      </c>
      <c r="E460">
        <v>360</v>
      </c>
      <c r="F460">
        <v>88</v>
      </c>
      <c r="G460">
        <v>24.2</v>
      </c>
      <c r="H460">
        <v>8711.2900000000009</v>
      </c>
    </row>
    <row r="461" spans="1:8" x14ac:dyDescent="0.2">
      <c r="A461" s="2">
        <v>45025</v>
      </c>
      <c r="B461">
        <v>118</v>
      </c>
      <c r="C461">
        <v>67</v>
      </c>
      <c r="D461">
        <v>93</v>
      </c>
      <c r="E461">
        <v>278</v>
      </c>
      <c r="F461">
        <v>89</v>
      </c>
      <c r="G461">
        <v>23.77</v>
      </c>
      <c r="H461">
        <v>6608</v>
      </c>
    </row>
    <row r="462" spans="1:8" x14ac:dyDescent="0.2">
      <c r="A462" s="2">
        <v>45026</v>
      </c>
      <c r="B462">
        <v>71</v>
      </c>
      <c r="C462">
        <v>48</v>
      </c>
      <c r="D462">
        <v>101</v>
      </c>
      <c r="E462">
        <v>220</v>
      </c>
      <c r="F462">
        <v>77</v>
      </c>
      <c r="G462">
        <v>19.38</v>
      </c>
      <c r="H462">
        <v>4264.0600000000004</v>
      </c>
    </row>
    <row r="463" spans="1:8" x14ac:dyDescent="0.2">
      <c r="A463" s="2">
        <v>45027</v>
      </c>
      <c r="B463">
        <v>82</v>
      </c>
      <c r="C463">
        <v>46</v>
      </c>
      <c r="D463">
        <v>82</v>
      </c>
      <c r="E463">
        <v>210</v>
      </c>
      <c r="F463">
        <v>82</v>
      </c>
      <c r="G463">
        <v>17.309999999999999</v>
      </c>
      <c r="H463">
        <v>3634.24</v>
      </c>
    </row>
    <row r="464" spans="1:8" x14ac:dyDescent="0.2">
      <c r="A464" s="2">
        <v>45028</v>
      </c>
      <c r="B464">
        <v>60</v>
      </c>
      <c r="C464">
        <v>42</v>
      </c>
      <c r="D464">
        <v>76</v>
      </c>
      <c r="E464">
        <v>178</v>
      </c>
      <c r="F464">
        <v>78</v>
      </c>
      <c r="G464">
        <v>21.22</v>
      </c>
      <c r="H464">
        <v>3777.98</v>
      </c>
    </row>
    <row r="465" spans="1:8" x14ac:dyDescent="0.2">
      <c r="A465" s="2">
        <v>45029</v>
      </c>
      <c r="B465">
        <v>96</v>
      </c>
      <c r="C465">
        <v>58</v>
      </c>
      <c r="D465">
        <v>75</v>
      </c>
      <c r="E465">
        <v>229</v>
      </c>
      <c r="F465">
        <v>95</v>
      </c>
      <c r="G465">
        <v>24.22</v>
      </c>
      <c r="H465">
        <v>5546.65</v>
      </c>
    </row>
    <row r="466" spans="1:8" x14ac:dyDescent="0.2">
      <c r="A466" s="2">
        <v>45030</v>
      </c>
      <c r="B466">
        <v>144</v>
      </c>
      <c r="C466">
        <v>26</v>
      </c>
      <c r="D466">
        <v>69</v>
      </c>
      <c r="E466">
        <v>239</v>
      </c>
      <c r="F466">
        <v>92</v>
      </c>
      <c r="G466">
        <v>25.47</v>
      </c>
      <c r="H466">
        <v>6087.76</v>
      </c>
    </row>
    <row r="467" spans="1:8" x14ac:dyDescent="0.2">
      <c r="A467" s="2">
        <v>45031</v>
      </c>
      <c r="B467">
        <v>291</v>
      </c>
      <c r="C467">
        <v>37</v>
      </c>
      <c r="D467">
        <v>84</v>
      </c>
      <c r="E467">
        <v>412</v>
      </c>
      <c r="F467">
        <v>91</v>
      </c>
      <c r="G467">
        <v>24.49</v>
      </c>
      <c r="H467">
        <v>10088.629999999999</v>
      </c>
    </row>
    <row r="468" spans="1:8" x14ac:dyDescent="0.2">
      <c r="A468" s="2">
        <v>45032</v>
      </c>
      <c r="B468">
        <v>73</v>
      </c>
      <c r="C468">
        <v>33</v>
      </c>
      <c r="D468">
        <v>58</v>
      </c>
      <c r="E468">
        <v>164</v>
      </c>
      <c r="F468">
        <v>82</v>
      </c>
      <c r="G468">
        <v>22.58</v>
      </c>
      <c r="H468">
        <v>3702.48</v>
      </c>
    </row>
    <row r="469" spans="1:8" x14ac:dyDescent="0.2">
      <c r="A469" s="2">
        <v>45033</v>
      </c>
      <c r="B469">
        <v>58</v>
      </c>
      <c r="C469">
        <v>29</v>
      </c>
      <c r="D469">
        <v>39</v>
      </c>
      <c r="E469">
        <v>126</v>
      </c>
      <c r="F469">
        <v>90</v>
      </c>
      <c r="G469">
        <v>20.64</v>
      </c>
      <c r="H469">
        <v>2600.9899999999998</v>
      </c>
    </row>
    <row r="470" spans="1:8" x14ac:dyDescent="0.2">
      <c r="A470" s="2">
        <v>45034</v>
      </c>
      <c r="B470">
        <v>109</v>
      </c>
      <c r="C470">
        <v>13</v>
      </c>
      <c r="D470">
        <v>62</v>
      </c>
      <c r="E470">
        <v>184</v>
      </c>
      <c r="F470">
        <v>83</v>
      </c>
      <c r="G470">
        <v>19.23</v>
      </c>
      <c r="H470">
        <v>3539.09</v>
      </c>
    </row>
    <row r="471" spans="1:8" x14ac:dyDescent="0.2">
      <c r="A471" s="2">
        <v>45035</v>
      </c>
      <c r="B471">
        <v>91</v>
      </c>
      <c r="C471">
        <v>29</v>
      </c>
      <c r="D471">
        <v>46</v>
      </c>
      <c r="E471">
        <v>169</v>
      </c>
      <c r="F471">
        <v>90</v>
      </c>
      <c r="G471">
        <v>23.95</v>
      </c>
      <c r="H471">
        <v>4048.27</v>
      </c>
    </row>
    <row r="472" spans="1:8" x14ac:dyDescent="0.2">
      <c r="A472" s="2">
        <v>45036</v>
      </c>
      <c r="B472">
        <v>35</v>
      </c>
      <c r="C472">
        <v>17</v>
      </c>
      <c r="D472">
        <v>62</v>
      </c>
      <c r="E472">
        <v>114</v>
      </c>
      <c r="F472">
        <v>93</v>
      </c>
      <c r="G472">
        <v>26.26</v>
      </c>
      <c r="H472">
        <v>2993.32</v>
      </c>
    </row>
    <row r="473" spans="1:8" x14ac:dyDescent="0.2">
      <c r="A473" s="2">
        <v>45037</v>
      </c>
      <c r="B473">
        <v>144</v>
      </c>
      <c r="C473">
        <v>18</v>
      </c>
      <c r="D473">
        <v>58</v>
      </c>
      <c r="E473">
        <v>220</v>
      </c>
      <c r="F473">
        <v>90</v>
      </c>
      <c r="G473">
        <v>19.12</v>
      </c>
      <c r="H473">
        <v>4205.45</v>
      </c>
    </row>
    <row r="474" spans="1:8" x14ac:dyDescent="0.2">
      <c r="A474" s="2">
        <v>45038</v>
      </c>
      <c r="B474">
        <v>241</v>
      </c>
      <c r="C474">
        <v>47</v>
      </c>
      <c r="D474">
        <v>94</v>
      </c>
      <c r="E474">
        <v>382</v>
      </c>
      <c r="F474">
        <v>94</v>
      </c>
      <c r="G474">
        <v>23.22</v>
      </c>
      <c r="H474">
        <v>8869.91</v>
      </c>
    </row>
    <row r="475" spans="1:8" x14ac:dyDescent="0.2">
      <c r="A475" s="2">
        <v>45039</v>
      </c>
      <c r="B475">
        <v>32</v>
      </c>
      <c r="C475">
        <v>28</v>
      </c>
      <c r="D475">
        <v>78</v>
      </c>
      <c r="E475">
        <v>138</v>
      </c>
      <c r="F475">
        <v>76</v>
      </c>
      <c r="G475">
        <v>24.45</v>
      </c>
      <c r="H475">
        <v>3374.25</v>
      </c>
    </row>
    <row r="476" spans="1:8" x14ac:dyDescent="0.2">
      <c r="A476" s="2">
        <v>45040</v>
      </c>
      <c r="B476">
        <v>33</v>
      </c>
      <c r="C476">
        <v>56</v>
      </c>
      <c r="D476">
        <v>82</v>
      </c>
      <c r="E476">
        <v>171</v>
      </c>
      <c r="F476">
        <v>79</v>
      </c>
      <c r="G476">
        <v>23.4</v>
      </c>
      <c r="H476">
        <v>4000.59</v>
      </c>
    </row>
    <row r="477" spans="1:8" x14ac:dyDescent="0.2">
      <c r="A477" s="2">
        <v>45041</v>
      </c>
      <c r="B477">
        <v>55</v>
      </c>
      <c r="C477">
        <v>27</v>
      </c>
      <c r="D477">
        <v>88</v>
      </c>
      <c r="E477">
        <v>170</v>
      </c>
      <c r="F477">
        <v>83</v>
      </c>
      <c r="G477">
        <v>25.5</v>
      </c>
      <c r="H477">
        <v>4335.32</v>
      </c>
    </row>
    <row r="478" spans="1:8" x14ac:dyDescent="0.2">
      <c r="A478" s="2">
        <v>45042</v>
      </c>
      <c r="B478">
        <v>44</v>
      </c>
      <c r="C478">
        <v>19</v>
      </c>
      <c r="D478">
        <v>70</v>
      </c>
      <c r="E478">
        <v>133</v>
      </c>
      <c r="F478">
        <v>81</v>
      </c>
      <c r="G478">
        <v>23.06</v>
      </c>
      <c r="H478">
        <v>3067.45</v>
      </c>
    </row>
    <row r="479" spans="1:8" x14ac:dyDescent="0.2">
      <c r="A479" s="2">
        <v>45043</v>
      </c>
      <c r="B479">
        <v>48</v>
      </c>
      <c r="C479">
        <v>36</v>
      </c>
      <c r="D479">
        <v>55</v>
      </c>
      <c r="E479">
        <v>139</v>
      </c>
      <c r="F479">
        <v>83</v>
      </c>
      <c r="G479">
        <v>29.11</v>
      </c>
      <c r="H479">
        <v>4046.27</v>
      </c>
    </row>
    <row r="480" spans="1:8" x14ac:dyDescent="0.2">
      <c r="A480" s="2">
        <v>45044</v>
      </c>
      <c r="B480">
        <v>146</v>
      </c>
      <c r="C480">
        <v>16</v>
      </c>
      <c r="D480">
        <v>102</v>
      </c>
      <c r="E480">
        <v>264</v>
      </c>
      <c r="F480">
        <v>86</v>
      </c>
      <c r="G480">
        <v>23.62</v>
      </c>
      <c r="H480">
        <v>6236.17</v>
      </c>
    </row>
    <row r="481" spans="1:8" x14ac:dyDescent="0.2">
      <c r="A481" s="2">
        <v>45045</v>
      </c>
      <c r="B481">
        <v>312</v>
      </c>
      <c r="C481">
        <v>32</v>
      </c>
      <c r="D481">
        <v>72</v>
      </c>
      <c r="E481">
        <v>416</v>
      </c>
      <c r="F481">
        <v>88</v>
      </c>
      <c r="G481">
        <v>22.02</v>
      </c>
      <c r="H481">
        <v>9160.24</v>
      </c>
    </row>
    <row r="482" spans="1:8" x14ac:dyDescent="0.2">
      <c r="A482" s="2">
        <v>45046</v>
      </c>
      <c r="B482">
        <v>188</v>
      </c>
      <c r="C482">
        <v>56</v>
      </c>
      <c r="D482">
        <v>75</v>
      </c>
      <c r="E482">
        <v>319</v>
      </c>
      <c r="F482">
        <v>87</v>
      </c>
      <c r="G482">
        <v>26.41</v>
      </c>
      <c r="H482">
        <v>8423.7000000000007</v>
      </c>
    </row>
    <row r="483" spans="1:8" x14ac:dyDescent="0.2">
      <c r="A483" s="2">
        <v>45047</v>
      </c>
      <c r="B483">
        <v>90</v>
      </c>
      <c r="C483">
        <v>39</v>
      </c>
      <c r="D483">
        <v>115</v>
      </c>
      <c r="E483">
        <v>244</v>
      </c>
      <c r="F483">
        <v>71</v>
      </c>
      <c r="G483">
        <v>24.57</v>
      </c>
      <c r="H483">
        <v>5995.42</v>
      </c>
    </row>
    <row r="484" spans="1:8" x14ac:dyDescent="0.2">
      <c r="A484" s="2">
        <v>45048</v>
      </c>
      <c r="B484">
        <v>65</v>
      </c>
      <c r="C484">
        <v>17</v>
      </c>
      <c r="D484">
        <v>80</v>
      </c>
      <c r="E484">
        <v>162</v>
      </c>
      <c r="F484">
        <v>83</v>
      </c>
      <c r="G484">
        <v>25.1</v>
      </c>
      <c r="H484">
        <v>4066.86</v>
      </c>
    </row>
    <row r="485" spans="1:8" x14ac:dyDescent="0.2">
      <c r="A485" s="2">
        <v>45049</v>
      </c>
      <c r="B485">
        <v>39</v>
      </c>
      <c r="C485">
        <v>14</v>
      </c>
      <c r="D485">
        <v>48</v>
      </c>
      <c r="E485">
        <v>103</v>
      </c>
      <c r="F485">
        <v>84</v>
      </c>
      <c r="G485">
        <v>24.11</v>
      </c>
      <c r="H485">
        <v>2483.77</v>
      </c>
    </row>
    <row r="486" spans="1:8" x14ac:dyDescent="0.2">
      <c r="A486" s="2">
        <v>45050</v>
      </c>
      <c r="B486">
        <v>54</v>
      </c>
      <c r="C486">
        <v>16</v>
      </c>
      <c r="D486">
        <v>61</v>
      </c>
      <c r="E486">
        <v>131</v>
      </c>
      <c r="F486">
        <v>89</v>
      </c>
      <c r="G486">
        <v>27.12</v>
      </c>
      <c r="H486">
        <v>3552.92</v>
      </c>
    </row>
    <row r="487" spans="1:8" x14ac:dyDescent="0.2">
      <c r="A487" s="2">
        <v>45051</v>
      </c>
      <c r="B487">
        <v>152</v>
      </c>
      <c r="C487">
        <v>20</v>
      </c>
      <c r="D487">
        <v>55</v>
      </c>
      <c r="E487">
        <v>227</v>
      </c>
      <c r="F487">
        <v>86</v>
      </c>
      <c r="G487">
        <v>26.02</v>
      </c>
      <c r="H487">
        <v>5906.67</v>
      </c>
    </row>
    <row r="488" spans="1:8" x14ac:dyDescent="0.2">
      <c r="A488" s="2">
        <v>45052</v>
      </c>
      <c r="B488">
        <v>174</v>
      </c>
      <c r="C488">
        <v>36</v>
      </c>
      <c r="D488">
        <v>99</v>
      </c>
      <c r="E488">
        <v>309</v>
      </c>
      <c r="F488">
        <v>85</v>
      </c>
      <c r="G488">
        <v>22.95</v>
      </c>
      <c r="H488">
        <v>7092.27</v>
      </c>
    </row>
    <row r="489" spans="1:8" x14ac:dyDescent="0.2">
      <c r="A489" s="2">
        <v>45053</v>
      </c>
      <c r="B489">
        <v>86</v>
      </c>
      <c r="C489">
        <v>40</v>
      </c>
      <c r="D489">
        <v>99</v>
      </c>
      <c r="E489">
        <v>225</v>
      </c>
      <c r="F489">
        <v>81</v>
      </c>
      <c r="G489">
        <v>19.47</v>
      </c>
      <c r="H489">
        <v>4380.72</v>
      </c>
    </row>
    <row r="490" spans="1:8" x14ac:dyDescent="0.2">
      <c r="A490" s="2">
        <v>45054</v>
      </c>
      <c r="B490">
        <v>82</v>
      </c>
      <c r="C490">
        <v>29</v>
      </c>
      <c r="D490">
        <v>73</v>
      </c>
      <c r="E490">
        <v>184</v>
      </c>
      <c r="F490">
        <v>74</v>
      </c>
      <c r="G490">
        <v>25.94</v>
      </c>
      <c r="H490">
        <v>4773.16</v>
      </c>
    </row>
    <row r="491" spans="1:8" x14ac:dyDescent="0.2">
      <c r="A491" s="2">
        <v>45055</v>
      </c>
      <c r="B491">
        <v>18</v>
      </c>
      <c r="C491">
        <v>14</v>
      </c>
      <c r="D491">
        <v>49</v>
      </c>
      <c r="E491">
        <v>81</v>
      </c>
      <c r="F491">
        <v>87</v>
      </c>
      <c r="G491">
        <v>18.489999999999998</v>
      </c>
      <c r="H491">
        <v>1497.48</v>
      </c>
    </row>
    <row r="492" spans="1:8" x14ac:dyDescent="0.2">
      <c r="A492" s="2">
        <v>45056</v>
      </c>
      <c r="B492">
        <v>42</v>
      </c>
      <c r="C492">
        <v>25</v>
      </c>
      <c r="D492">
        <v>76</v>
      </c>
      <c r="E492">
        <v>147</v>
      </c>
      <c r="F492">
        <v>93</v>
      </c>
      <c r="G492">
        <v>23.97</v>
      </c>
      <c r="H492">
        <v>3523.04</v>
      </c>
    </row>
    <row r="493" spans="1:8" x14ac:dyDescent="0.2">
      <c r="A493" s="2">
        <v>45057</v>
      </c>
      <c r="B493">
        <v>47</v>
      </c>
      <c r="C493">
        <v>15</v>
      </c>
      <c r="D493">
        <v>79</v>
      </c>
      <c r="E493">
        <v>146</v>
      </c>
      <c r="F493">
        <v>78</v>
      </c>
      <c r="G493">
        <v>17.760000000000002</v>
      </c>
      <c r="H493">
        <v>2592.63</v>
      </c>
    </row>
    <row r="494" spans="1:8" x14ac:dyDescent="0.2">
      <c r="A494" s="2">
        <v>45058</v>
      </c>
      <c r="B494">
        <v>115</v>
      </c>
      <c r="C494">
        <v>13</v>
      </c>
      <c r="D494">
        <v>49</v>
      </c>
      <c r="E494">
        <v>177</v>
      </c>
      <c r="F494">
        <v>87</v>
      </c>
      <c r="G494">
        <v>23.73</v>
      </c>
      <c r="H494">
        <v>4200.58</v>
      </c>
    </row>
    <row r="495" spans="1:8" x14ac:dyDescent="0.2">
      <c r="A495" s="2">
        <v>45059</v>
      </c>
      <c r="B495">
        <v>188</v>
      </c>
      <c r="C495">
        <v>33</v>
      </c>
      <c r="D495">
        <v>57</v>
      </c>
      <c r="E495">
        <v>278</v>
      </c>
      <c r="F495">
        <v>81</v>
      </c>
      <c r="G495">
        <v>22.72</v>
      </c>
      <c r="H495">
        <v>6316.01</v>
      </c>
    </row>
    <row r="496" spans="1:8" x14ac:dyDescent="0.2">
      <c r="A496" s="2">
        <v>45060</v>
      </c>
      <c r="B496">
        <v>69</v>
      </c>
      <c r="C496">
        <v>21</v>
      </c>
      <c r="D496">
        <v>63</v>
      </c>
      <c r="E496">
        <v>153</v>
      </c>
      <c r="F496">
        <v>82</v>
      </c>
      <c r="G496">
        <v>28.16</v>
      </c>
      <c r="H496">
        <v>4308.1899999999996</v>
      </c>
    </row>
    <row r="497" spans="1:8" x14ac:dyDescent="0.2">
      <c r="A497" s="2">
        <v>45061</v>
      </c>
      <c r="B497">
        <v>36</v>
      </c>
      <c r="C497">
        <v>12</v>
      </c>
      <c r="D497">
        <v>58</v>
      </c>
      <c r="E497">
        <v>106</v>
      </c>
      <c r="F497">
        <v>83</v>
      </c>
      <c r="G497">
        <v>26.29</v>
      </c>
      <c r="H497">
        <v>2786.64</v>
      </c>
    </row>
    <row r="498" spans="1:8" x14ac:dyDescent="0.2">
      <c r="A498" s="2">
        <v>45062</v>
      </c>
      <c r="B498">
        <v>33</v>
      </c>
      <c r="C498">
        <v>26</v>
      </c>
      <c r="D498">
        <v>59</v>
      </c>
      <c r="E498">
        <v>118</v>
      </c>
      <c r="F498">
        <v>78</v>
      </c>
      <c r="G498">
        <v>21.55</v>
      </c>
      <c r="H498">
        <v>2543.48</v>
      </c>
    </row>
    <row r="499" spans="1:8" x14ac:dyDescent="0.2">
      <c r="A499" s="2">
        <v>45063</v>
      </c>
      <c r="B499">
        <v>105</v>
      </c>
      <c r="C499">
        <v>16</v>
      </c>
      <c r="D499">
        <v>53</v>
      </c>
      <c r="E499">
        <v>176</v>
      </c>
      <c r="F499">
        <v>86</v>
      </c>
      <c r="G499">
        <v>19.010000000000002</v>
      </c>
      <c r="H499">
        <v>3345.72</v>
      </c>
    </row>
    <row r="500" spans="1:8" x14ac:dyDescent="0.2">
      <c r="A500" s="2">
        <v>45064</v>
      </c>
      <c r="B500">
        <v>32</v>
      </c>
      <c r="C500">
        <v>42</v>
      </c>
      <c r="D500">
        <v>61</v>
      </c>
      <c r="E500">
        <v>135</v>
      </c>
      <c r="F500">
        <v>80</v>
      </c>
      <c r="G500">
        <v>25.28</v>
      </c>
      <c r="H500">
        <v>3413.48</v>
      </c>
    </row>
    <row r="501" spans="1:8" x14ac:dyDescent="0.2">
      <c r="A501" s="2">
        <v>45065</v>
      </c>
      <c r="B501">
        <v>169</v>
      </c>
      <c r="C501">
        <v>44</v>
      </c>
      <c r="D501">
        <v>51</v>
      </c>
      <c r="E501">
        <v>264</v>
      </c>
      <c r="F501">
        <v>85</v>
      </c>
      <c r="G501">
        <v>17.55</v>
      </c>
      <c r="H501">
        <v>4633.6899999999996</v>
      </c>
    </row>
    <row r="502" spans="1:8" x14ac:dyDescent="0.2">
      <c r="A502" s="2">
        <v>45066</v>
      </c>
      <c r="B502">
        <v>205</v>
      </c>
      <c r="C502">
        <v>37</v>
      </c>
      <c r="D502">
        <v>79</v>
      </c>
      <c r="E502">
        <v>321</v>
      </c>
      <c r="F502">
        <v>83</v>
      </c>
      <c r="G502">
        <v>24.58</v>
      </c>
      <c r="H502">
        <v>7890.1</v>
      </c>
    </row>
    <row r="503" spans="1:8" x14ac:dyDescent="0.2">
      <c r="A503" s="2">
        <v>45067</v>
      </c>
      <c r="B503">
        <v>58</v>
      </c>
      <c r="C503">
        <v>29</v>
      </c>
      <c r="D503">
        <v>64</v>
      </c>
      <c r="E503">
        <v>151</v>
      </c>
      <c r="F503">
        <v>75</v>
      </c>
      <c r="G503">
        <v>19.18</v>
      </c>
      <c r="H503">
        <v>2895.93</v>
      </c>
    </row>
    <row r="504" spans="1:8" x14ac:dyDescent="0.2">
      <c r="A504" s="2">
        <v>45068</v>
      </c>
      <c r="B504">
        <v>52</v>
      </c>
      <c r="C504">
        <v>16</v>
      </c>
      <c r="D504">
        <v>53</v>
      </c>
      <c r="E504">
        <v>121</v>
      </c>
      <c r="F504">
        <v>82</v>
      </c>
      <c r="G504">
        <v>19.27</v>
      </c>
      <c r="H504">
        <v>2331.96</v>
      </c>
    </row>
    <row r="505" spans="1:8" x14ac:dyDescent="0.2">
      <c r="A505" s="2">
        <v>45069</v>
      </c>
      <c r="B505">
        <v>45</v>
      </c>
      <c r="C505">
        <v>50</v>
      </c>
      <c r="D505">
        <v>50</v>
      </c>
      <c r="E505">
        <v>145</v>
      </c>
      <c r="F505">
        <v>85</v>
      </c>
      <c r="G505">
        <v>24.98</v>
      </c>
      <c r="H505">
        <v>3621.67</v>
      </c>
    </row>
    <row r="506" spans="1:8" x14ac:dyDescent="0.2">
      <c r="A506" s="2">
        <v>45070</v>
      </c>
      <c r="B506">
        <v>19</v>
      </c>
      <c r="C506">
        <v>35</v>
      </c>
      <c r="D506">
        <v>63</v>
      </c>
      <c r="E506">
        <v>117</v>
      </c>
      <c r="F506">
        <v>84</v>
      </c>
      <c r="G506">
        <v>29.8</v>
      </c>
      <c r="H506">
        <v>3486.92</v>
      </c>
    </row>
    <row r="507" spans="1:8" x14ac:dyDescent="0.2">
      <c r="A507" s="2">
        <v>45071</v>
      </c>
      <c r="B507">
        <v>54</v>
      </c>
      <c r="C507">
        <v>12</v>
      </c>
      <c r="D507">
        <v>66</v>
      </c>
      <c r="E507">
        <v>132</v>
      </c>
      <c r="F507">
        <v>82</v>
      </c>
      <c r="G507">
        <v>18.829999999999998</v>
      </c>
      <c r="H507">
        <v>2486.09</v>
      </c>
    </row>
    <row r="508" spans="1:8" x14ac:dyDescent="0.2">
      <c r="A508" s="2">
        <v>45072</v>
      </c>
      <c r="B508">
        <v>129</v>
      </c>
      <c r="C508">
        <v>39</v>
      </c>
      <c r="D508">
        <v>62</v>
      </c>
      <c r="E508">
        <v>230</v>
      </c>
      <c r="F508">
        <v>89</v>
      </c>
      <c r="G508">
        <v>29.6</v>
      </c>
      <c r="H508">
        <v>6808.83</v>
      </c>
    </row>
    <row r="509" spans="1:8" x14ac:dyDescent="0.2">
      <c r="A509" s="2">
        <v>45073</v>
      </c>
      <c r="B509">
        <v>223</v>
      </c>
      <c r="C509">
        <v>30</v>
      </c>
      <c r="D509">
        <v>90</v>
      </c>
      <c r="E509">
        <v>343</v>
      </c>
      <c r="F509">
        <v>78</v>
      </c>
      <c r="G509">
        <v>25.9</v>
      </c>
      <c r="H509">
        <v>8882.4</v>
      </c>
    </row>
    <row r="510" spans="1:8" x14ac:dyDescent="0.2">
      <c r="A510" s="2">
        <v>45074</v>
      </c>
      <c r="B510">
        <v>141</v>
      </c>
      <c r="C510">
        <v>47</v>
      </c>
      <c r="D510">
        <v>90</v>
      </c>
      <c r="E510">
        <v>278</v>
      </c>
      <c r="F510">
        <v>87</v>
      </c>
      <c r="G510">
        <v>27.21</v>
      </c>
      <c r="H510">
        <v>7565.18</v>
      </c>
    </row>
    <row r="511" spans="1:8" x14ac:dyDescent="0.2">
      <c r="A511" s="2">
        <v>45075</v>
      </c>
      <c r="B511">
        <v>46</v>
      </c>
      <c r="C511">
        <v>38</v>
      </c>
      <c r="D511">
        <v>104</v>
      </c>
      <c r="E511">
        <v>188</v>
      </c>
      <c r="F511">
        <v>86</v>
      </c>
      <c r="G511">
        <v>24.61</v>
      </c>
      <c r="H511">
        <v>4626.08</v>
      </c>
    </row>
    <row r="512" spans="1:8" x14ac:dyDescent="0.2">
      <c r="A512" s="2">
        <v>45076</v>
      </c>
      <c r="B512">
        <v>56</v>
      </c>
      <c r="C512">
        <v>46</v>
      </c>
      <c r="D512">
        <v>85</v>
      </c>
      <c r="E512">
        <v>191</v>
      </c>
      <c r="F512">
        <v>78</v>
      </c>
      <c r="G512">
        <v>26.27</v>
      </c>
      <c r="H512">
        <v>5018.38</v>
      </c>
    </row>
    <row r="513" spans="1:8" x14ac:dyDescent="0.2">
      <c r="A513" s="2">
        <v>45077</v>
      </c>
      <c r="B513">
        <v>78</v>
      </c>
      <c r="C513">
        <v>56</v>
      </c>
      <c r="D513">
        <v>60</v>
      </c>
      <c r="E513">
        <v>194</v>
      </c>
      <c r="F513">
        <v>85</v>
      </c>
      <c r="G513">
        <v>28.37</v>
      </c>
      <c r="H513">
        <v>5503.2</v>
      </c>
    </row>
    <row r="514" spans="1:8" x14ac:dyDescent="0.2">
      <c r="A514" s="2">
        <v>45078</v>
      </c>
      <c r="B514">
        <v>76</v>
      </c>
      <c r="C514">
        <v>53</v>
      </c>
      <c r="D514">
        <v>75</v>
      </c>
      <c r="E514">
        <v>204</v>
      </c>
      <c r="F514">
        <v>91</v>
      </c>
      <c r="G514">
        <v>25.48</v>
      </c>
      <c r="H514">
        <v>5198.82</v>
      </c>
    </row>
    <row r="515" spans="1:8" x14ac:dyDescent="0.2">
      <c r="A515" s="2">
        <v>45079</v>
      </c>
      <c r="B515">
        <v>153</v>
      </c>
      <c r="C515">
        <v>41</v>
      </c>
      <c r="D515">
        <v>47</v>
      </c>
      <c r="E515">
        <v>243</v>
      </c>
      <c r="F515">
        <v>90</v>
      </c>
      <c r="G515">
        <v>28.11</v>
      </c>
      <c r="H515">
        <v>6831.07</v>
      </c>
    </row>
    <row r="516" spans="1:8" x14ac:dyDescent="0.2">
      <c r="A516" s="2">
        <v>45080</v>
      </c>
      <c r="B516">
        <v>155</v>
      </c>
      <c r="C516">
        <v>35</v>
      </c>
      <c r="D516">
        <v>80</v>
      </c>
      <c r="E516">
        <v>270</v>
      </c>
      <c r="F516">
        <v>86</v>
      </c>
      <c r="G516">
        <v>27.22</v>
      </c>
      <c r="H516">
        <v>7350.29</v>
      </c>
    </row>
    <row r="517" spans="1:8" x14ac:dyDescent="0.2">
      <c r="A517" s="2">
        <v>45081</v>
      </c>
      <c r="B517">
        <v>44</v>
      </c>
      <c r="C517">
        <v>28</v>
      </c>
      <c r="D517">
        <v>60</v>
      </c>
      <c r="E517">
        <v>134</v>
      </c>
      <c r="F517">
        <v>81</v>
      </c>
      <c r="G517">
        <v>22.71</v>
      </c>
      <c r="H517">
        <v>3043.53</v>
      </c>
    </row>
    <row r="518" spans="1:8" x14ac:dyDescent="0.2">
      <c r="A518" s="2">
        <v>45082</v>
      </c>
      <c r="B518">
        <v>28</v>
      </c>
      <c r="C518">
        <v>21</v>
      </c>
      <c r="D518">
        <v>79</v>
      </c>
      <c r="E518">
        <v>130</v>
      </c>
      <c r="F518">
        <v>74</v>
      </c>
      <c r="G518">
        <v>20.54</v>
      </c>
      <c r="H518">
        <v>2670.42</v>
      </c>
    </row>
    <row r="519" spans="1:8" x14ac:dyDescent="0.2">
      <c r="A519" s="2">
        <v>45083</v>
      </c>
      <c r="B519">
        <v>46</v>
      </c>
      <c r="C519">
        <v>27</v>
      </c>
      <c r="D519">
        <v>73</v>
      </c>
      <c r="E519">
        <v>148</v>
      </c>
      <c r="F519">
        <v>79</v>
      </c>
      <c r="G519">
        <v>21.44</v>
      </c>
      <c r="H519">
        <v>3173.82</v>
      </c>
    </row>
    <row r="520" spans="1:8" x14ac:dyDescent="0.2">
      <c r="A520" s="2">
        <v>45084</v>
      </c>
      <c r="B520">
        <v>38</v>
      </c>
      <c r="C520">
        <v>15</v>
      </c>
      <c r="D520">
        <v>56</v>
      </c>
      <c r="E520">
        <v>109</v>
      </c>
      <c r="F520">
        <v>80</v>
      </c>
      <c r="G520">
        <v>20.99</v>
      </c>
      <c r="H520">
        <v>2287.73</v>
      </c>
    </row>
    <row r="521" spans="1:8" x14ac:dyDescent="0.2">
      <c r="A521" s="2">
        <v>45085</v>
      </c>
      <c r="B521">
        <v>55</v>
      </c>
      <c r="C521">
        <v>36</v>
      </c>
      <c r="D521">
        <v>43</v>
      </c>
      <c r="E521">
        <v>134</v>
      </c>
      <c r="F521">
        <v>90</v>
      </c>
      <c r="G521">
        <v>22.67</v>
      </c>
      <c r="H521">
        <v>3038.45</v>
      </c>
    </row>
    <row r="522" spans="1:8" x14ac:dyDescent="0.2">
      <c r="A522" s="2">
        <v>45086</v>
      </c>
      <c r="B522">
        <v>114</v>
      </c>
      <c r="C522">
        <v>46</v>
      </c>
      <c r="D522">
        <v>70</v>
      </c>
      <c r="E522">
        <v>230</v>
      </c>
      <c r="F522">
        <v>85</v>
      </c>
      <c r="G522">
        <v>25.79</v>
      </c>
      <c r="H522">
        <v>5931.79</v>
      </c>
    </row>
    <row r="523" spans="1:8" x14ac:dyDescent="0.2">
      <c r="A523" s="2">
        <v>45087</v>
      </c>
      <c r="B523">
        <v>216</v>
      </c>
      <c r="C523">
        <v>40</v>
      </c>
      <c r="D523">
        <v>87</v>
      </c>
      <c r="E523">
        <v>343</v>
      </c>
      <c r="F523">
        <v>85</v>
      </c>
      <c r="G523">
        <v>23.63</v>
      </c>
      <c r="H523">
        <v>8105.09</v>
      </c>
    </row>
    <row r="524" spans="1:8" x14ac:dyDescent="0.2">
      <c r="A524" s="2">
        <v>45088</v>
      </c>
      <c r="B524">
        <v>60</v>
      </c>
      <c r="C524">
        <v>30</v>
      </c>
      <c r="D524">
        <v>85</v>
      </c>
      <c r="E524">
        <v>175</v>
      </c>
      <c r="F524">
        <v>74</v>
      </c>
      <c r="G524">
        <v>23.76</v>
      </c>
      <c r="H524">
        <v>4157.22</v>
      </c>
    </row>
    <row r="525" spans="1:8" x14ac:dyDescent="0.2">
      <c r="A525" s="2">
        <v>45089</v>
      </c>
      <c r="B525">
        <v>39</v>
      </c>
      <c r="C525">
        <v>18</v>
      </c>
      <c r="D525">
        <v>70</v>
      </c>
      <c r="E525">
        <v>127</v>
      </c>
      <c r="F525">
        <v>69</v>
      </c>
      <c r="G525">
        <v>20.99</v>
      </c>
      <c r="H525">
        <v>2666.01</v>
      </c>
    </row>
    <row r="526" spans="1:8" x14ac:dyDescent="0.2">
      <c r="A526" s="2">
        <v>45090</v>
      </c>
      <c r="B526">
        <v>33</v>
      </c>
      <c r="C526">
        <v>40</v>
      </c>
      <c r="D526">
        <v>53</v>
      </c>
      <c r="E526">
        <v>126</v>
      </c>
      <c r="F526">
        <v>75</v>
      </c>
      <c r="G526">
        <v>23.88</v>
      </c>
      <c r="H526">
        <v>3008.68</v>
      </c>
    </row>
    <row r="527" spans="1:8" x14ac:dyDescent="0.2">
      <c r="A527" s="2">
        <v>45091</v>
      </c>
      <c r="B527">
        <v>47</v>
      </c>
      <c r="C527">
        <v>20</v>
      </c>
      <c r="D527">
        <v>53</v>
      </c>
      <c r="E527">
        <v>120</v>
      </c>
      <c r="F527">
        <v>82</v>
      </c>
      <c r="G527">
        <v>25.35</v>
      </c>
      <c r="H527">
        <v>3041.45</v>
      </c>
    </row>
    <row r="528" spans="1:8" x14ac:dyDescent="0.2">
      <c r="A528" s="2">
        <v>45092</v>
      </c>
      <c r="B528">
        <v>25</v>
      </c>
      <c r="C528">
        <v>21</v>
      </c>
      <c r="D528">
        <v>74</v>
      </c>
      <c r="E528">
        <v>120</v>
      </c>
      <c r="F528">
        <v>72</v>
      </c>
      <c r="G528">
        <v>19.39</v>
      </c>
      <c r="H528">
        <v>2326.73</v>
      </c>
    </row>
    <row r="529" spans="1:8" x14ac:dyDescent="0.2">
      <c r="A529" s="2">
        <v>45093</v>
      </c>
      <c r="B529">
        <v>68</v>
      </c>
      <c r="C529">
        <v>44</v>
      </c>
      <c r="D529">
        <v>85</v>
      </c>
      <c r="E529">
        <v>209</v>
      </c>
      <c r="F529">
        <v>78</v>
      </c>
      <c r="G529">
        <v>21.64</v>
      </c>
      <c r="H529">
        <v>4523.05</v>
      </c>
    </row>
    <row r="530" spans="1:8" x14ac:dyDescent="0.2">
      <c r="A530" s="2">
        <v>45094</v>
      </c>
      <c r="B530">
        <v>221</v>
      </c>
      <c r="C530">
        <v>21</v>
      </c>
      <c r="D530">
        <v>67</v>
      </c>
      <c r="E530">
        <v>317</v>
      </c>
      <c r="F530">
        <v>86</v>
      </c>
      <c r="G530">
        <v>24.83</v>
      </c>
      <c r="H530">
        <v>7872.41</v>
      </c>
    </row>
    <row r="531" spans="1:8" x14ac:dyDescent="0.2">
      <c r="A531" s="2">
        <v>45095</v>
      </c>
      <c r="B531">
        <v>62</v>
      </c>
      <c r="C531">
        <v>46</v>
      </c>
      <c r="D531">
        <v>63</v>
      </c>
      <c r="E531">
        <v>171</v>
      </c>
      <c r="F531">
        <v>76</v>
      </c>
      <c r="G531">
        <v>21.6</v>
      </c>
      <c r="H531">
        <v>3692.78</v>
      </c>
    </row>
    <row r="532" spans="1:8" x14ac:dyDescent="0.2">
      <c r="A532" s="2">
        <v>45096</v>
      </c>
      <c r="B532">
        <v>43</v>
      </c>
      <c r="C532">
        <v>47</v>
      </c>
      <c r="D532">
        <v>64</v>
      </c>
      <c r="E532">
        <v>154</v>
      </c>
      <c r="F532">
        <v>71</v>
      </c>
      <c r="G532">
        <v>23.54</v>
      </c>
      <c r="H532">
        <v>3624.88</v>
      </c>
    </row>
    <row r="533" spans="1:8" x14ac:dyDescent="0.2">
      <c r="A533" s="2">
        <v>45097</v>
      </c>
      <c r="B533">
        <v>51</v>
      </c>
      <c r="C533">
        <v>32</v>
      </c>
      <c r="D533">
        <v>98</v>
      </c>
      <c r="E533">
        <v>190</v>
      </c>
      <c r="F533">
        <v>83</v>
      </c>
      <c r="G533">
        <v>19.940000000000001</v>
      </c>
      <c r="H533">
        <v>3789.3</v>
      </c>
    </row>
    <row r="534" spans="1:8" x14ac:dyDescent="0.2">
      <c r="A534" s="2">
        <v>45098</v>
      </c>
      <c r="B534">
        <v>38</v>
      </c>
      <c r="C534">
        <v>10</v>
      </c>
      <c r="D534">
        <v>46</v>
      </c>
      <c r="E534">
        <v>94</v>
      </c>
      <c r="F534">
        <v>81</v>
      </c>
      <c r="G534">
        <v>25.06</v>
      </c>
      <c r="H534">
        <v>2355.48</v>
      </c>
    </row>
    <row r="535" spans="1:8" x14ac:dyDescent="0.2">
      <c r="A535" s="2">
        <v>45099</v>
      </c>
      <c r="B535">
        <v>83</v>
      </c>
      <c r="C535">
        <v>14</v>
      </c>
      <c r="D535">
        <v>51</v>
      </c>
      <c r="E535">
        <v>148</v>
      </c>
      <c r="F535">
        <v>81</v>
      </c>
      <c r="G535">
        <v>25.64</v>
      </c>
      <c r="H535">
        <v>3793.98</v>
      </c>
    </row>
    <row r="536" spans="1:8" x14ac:dyDescent="0.2">
      <c r="A536" s="2">
        <v>45100</v>
      </c>
      <c r="B536">
        <v>147</v>
      </c>
      <c r="C536">
        <v>28</v>
      </c>
      <c r="D536">
        <v>40</v>
      </c>
      <c r="E536">
        <v>217</v>
      </c>
      <c r="F536">
        <v>82</v>
      </c>
      <c r="G536">
        <v>19.98</v>
      </c>
      <c r="H536">
        <v>4335.45</v>
      </c>
    </row>
    <row r="537" spans="1:8" x14ac:dyDescent="0.2">
      <c r="A537" s="2">
        <v>45101</v>
      </c>
      <c r="B537">
        <v>210</v>
      </c>
      <c r="C537">
        <v>31</v>
      </c>
      <c r="D537">
        <v>80</v>
      </c>
      <c r="E537">
        <v>323</v>
      </c>
      <c r="F537">
        <v>85</v>
      </c>
      <c r="G537">
        <v>26.12</v>
      </c>
      <c r="H537">
        <v>8437.52</v>
      </c>
    </row>
    <row r="538" spans="1:8" x14ac:dyDescent="0.2">
      <c r="A538" s="2">
        <v>45102</v>
      </c>
      <c r="B538">
        <v>62</v>
      </c>
      <c r="C538">
        <v>25</v>
      </c>
      <c r="D538">
        <v>66</v>
      </c>
      <c r="E538">
        <v>153</v>
      </c>
      <c r="F538">
        <v>86</v>
      </c>
      <c r="G538">
        <v>18.670000000000002</v>
      </c>
      <c r="H538">
        <v>2857.1</v>
      </c>
    </row>
    <row r="539" spans="1:8" x14ac:dyDescent="0.2">
      <c r="A539" s="2">
        <v>45103</v>
      </c>
      <c r="B539">
        <v>69</v>
      </c>
      <c r="C539">
        <v>28</v>
      </c>
      <c r="D539">
        <v>80</v>
      </c>
      <c r="E539">
        <v>177</v>
      </c>
      <c r="F539">
        <v>82</v>
      </c>
      <c r="G539">
        <v>20.67</v>
      </c>
      <c r="H539">
        <v>3658.21</v>
      </c>
    </row>
    <row r="540" spans="1:8" x14ac:dyDescent="0.2">
      <c r="A540" s="2">
        <v>45104</v>
      </c>
      <c r="B540">
        <v>29</v>
      </c>
      <c r="C540">
        <v>33</v>
      </c>
      <c r="D540">
        <v>70</v>
      </c>
      <c r="E540">
        <v>132</v>
      </c>
      <c r="F540">
        <v>78</v>
      </c>
      <c r="G540">
        <v>22.27</v>
      </c>
      <c r="H540">
        <v>2939.14</v>
      </c>
    </row>
    <row r="541" spans="1:8" x14ac:dyDescent="0.2">
      <c r="A541" s="2">
        <v>45105</v>
      </c>
      <c r="B541">
        <v>32</v>
      </c>
      <c r="C541">
        <v>25</v>
      </c>
      <c r="D541">
        <v>66</v>
      </c>
      <c r="E541">
        <v>128</v>
      </c>
      <c r="F541">
        <v>83</v>
      </c>
      <c r="G541">
        <v>26.25</v>
      </c>
      <c r="H541">
        <v>3359.61</v>
      </c>
    </row>
    <row r="542" spans="1:8" x14ac:dyDescent="0.2">
      <c r="A542" s="2">
        <v>45106</v>
      </c>
      <c r="B542">
        <v>56</v>
      </c>
      <c r="C542">
        <v>34</v>
      </c>
      <c r="D542">
        <v>62</v>
      </c>
      <c r="E542">
        <v>152</v>
      </c>
      <c r="F542">
        <v>95</v>
      </c>
      <c r="G542">
        <v>21.88</v>
      </c>
      <c r="H542">
        <v>3326.36</v>
      </c>
    </row>
    <row r="543" spans="1:8" x14ac:dyDescent="0.2">
      <c r="A543" s="2">
        <v>45107</v>
      </c>
      <c r="B543">
        <v>127</v>
      </c>
      <c r="C543">
        <v>22</v>
      </c>
      <c r="D543">
        <v>87</v>
      </c>
      <c r="E543">
        <v>236</v>
      </c>
      <c r="F543">
        <v>90</v>
      </c>
      <c r="G543">
        <v>25.89</v>
      </c>
      <c r="H543">
        <v>6109.01</v>
      </c>
    </row>
    <row r="544" spans="1:8" x14ac:dyDescent="0.2">
      <c r="A544" s="2">
        <v>45108</v>
      </c>
      <c r="B544">
        <v>262</v>
      </c>
      <c r="C544">
        <v>35</v>
      </c>
      <c r="D544">
        <v>74</v>
      </c>
      <c r="E544">
        <v>374</v>
      </c>
      <c r="F544">
        <v>99</v>
      </c>
      <c r="G544">
        <v>26.1</v>
      </c>
      <c r="H544">
        <v>9759.82</v>
      </c>
    </row>
    <row r="545" spans="1:8" x14ac:dyDescent="0.2">
      <c r="A545" s="2">
        <v>45109</v>
      </c>
      <c r="B545">
        <v>66</v>
      </c>
      <c r="C545">
        <v>53</v>
      </c>
      <c r="D545">
        <v>65</v>
      </c>
      <c r="E545">
        <v>184</v>
      </c>
      <c r="F545">
        <v>81</v>
      </c>
      <c r="G545">
        <v>27.51</v>
      </c>
      <c r="H545">
        <v>5062.03</v>
      </c>
    </row>
    <row r="546" spans="1:8" x14ac:dyDescent="0.2">
      <c r="A546" s="2">
        <v>45110</v>
      </c>
      <c r="B546">
        <v>37</v>
      </c>
      <c r="C546">
        <v>6</v>
      </c>
      <c r="D546">
        <v>97</v>
      </c>
      <c r="E546">
        <v>140</v>
      </c>
      <c r="F546">
        <v>83</v>
      </c>
      <c r="G546">
        <v>22.95</v>
      </c>
      <c r="H546">
        <v>3212.4</v>
      </c>
    </row>
    <row r="547" spans="1:8" x14ac:dyDescent="0.2">
      <c r="A547" s="2">
        <v>45111</v>
      </c>
      <c r="B547">
        <v>53</v>
      </c>
      <c r="C547">
        <v>35</v>
      </c>
      <c r="D547">
        <v>72</v>
      </c>
      <c r="E547">
        <v>160</v>
      </c>
      <c r="F547">
        <v>91</v>
      </c>
      <c r="G547">
        <v>31.42</v>
      </c>
      <c r="H547">
        <v>5026.9399999999996</v>
      </c>
    </row>
    <row r="548" spans="1:8" x14ac:dyDescent="0.2">
      <c r="A548" s="2">
        <v>45112</v>
      </c>
      <c r="B548">
        <v>41</v>
      </c>
      <c r="C548">
        <v>31</v>
      </c>
      <c r="D548">
        <v>87</v>
      </c>
      <c r="E548">
        <v>159</v>
      </c>
      <c r="F548">
        <v>85</v>
      </c>
      <c r="G548">
        <v>23.92</v>
      </c>
      <c r="H548">
        <v>3802.61</v>
      </c>
    </row>
    <row r="549" spans="1:8" x14ac:dyDescent="0.2">
      <c r="A549" s="2">
        <v>45113</v>
      </c>
      <c r="B549">
        <v>103</v>
      </c>
      <c r="C549">
        <v>29</v>
      </c>
      <c r="D549">
        <v>45</v>
      </c>
      <c r="E549">
        <v>177</v>
      </c>
      <c r="F549">
        <v>87</v>
      </c>
      <c r="G549">
        <v>23.46</v>
      </c>
      <c r="H549">
        <v>4152.96</v>
      </c>
    </row>
    <row r="550" spans="1:8" x14ac:dyDescent="0.2">
      <c r="A550" s="2">
        <v>45114</v>
      </c>
      <c r="B550">
        <v>123</v>
      </c>
      <c r="C550">
        <v>40</v>
      </c>
      <c r="D550">
        <v>58</v>
      </c>
      <c r="E550">
        <v>221</v>
      </c>
      <c r="F550">
        <v>86</v>
      </c>
      <c r="G550">
        <v>25.52</v>
      </c>
      <c r="H550">
        <v>5640.26</v>
      </c>
    </row>
    <row r="551" spans="1:8" x14ac:dyDescent="0.2">
      <c r="A551" s="2">
        <v>45115</v>
      </c>
      <c r="B551">
        <v>217</v>
      </c>
      <c r="C551">
        <v>38</v>
      </c>
      <c r="D551">
        <v>94</v>
      </c>
      <c r="E551">
        <v>349</v>
      </c>
      <c r="F551">
        <v>90</v>
      </c>
      <c r="G551">
        <v>24.78</v>
      </c>
      <c r="H551">
        <v>8648.91</v>
      </c>
    </row>
    <row r="552" spans="1:8" x14ac:dyDescent="0.2">
      <c r="A552" s="2">
        <v>45116</v>
      </c>
      <c r="B552">
        <v>66</v>
      </c>
      <c r="C552">
        <v>37</v>
      </c>
      <c r="D552">
        <v>89</v>
      </c>
      <c r="E552">
        <v>192</v>
      </c>
      <c r="F552">
        <v>80</v>
      </c>
      <c r="G552">
        <v>22.22</v>
      </c>
      <c r="H552">
        <v>4266.1099999999997</v>
      </c>
    </row>
    <row r="553" spans="1:8" x14ac:dyDescent="0.2">
      <c r="A553" s="2">
        <v>45117</v>
      </c>
      <c r="B553">
        <v>56</v>
      </c>
      <c r="C553">
        <v>36</v>
      </c>
      <c r="D553">
        <v>82</v>
      </c>
      <c r="E553">
        <v>174</v>
      </c>
      <c r="F553">
        <v>83</v>
      </c>
      <c r="G553">
        <v>27.75</v>
      </c>
      <c r="H553">
        <v>4828.7700000000004</v>
      </c>
    </row>
    <row r="554" spans="1:8" x14ac:dyDescent="0.2">
      <c r="A554" s="2">
        <v>45118</v>
      </c>
      <c r="B554">
        <v>44</v>
      </c>
      <c r="C554">
        <v>39</v>
      </c>
      <c r="D554">
        <v>68</v>
      </c>
      <c r="E554">
        <v>156</v>
      </c>
      <c r="F554">
        <v>77</v>
      </c>
      <c r="G554">
        <v>23.98</v>
      </c>
      <c r="H554">
        <v>3740.27</v>
      </c>
    </row>
    <row r="555" spans="1:8" x14ac:dyDescent="0.2">
      <c r="A555" s="2">
        <v>45119</v>
      </c>
      <c r="B555">
        <v>92</v>
      </c>
      <c r="C555">
        <v>20</v>
      </c>
      <c r="D555">
        <v>83</v>
      </c>
      <c r="E555">
        <v>198</v>
      </c>
      <c r="F555">
        <v>81</v>
      </c>
      <c r="G555">
        <v>25.8</v>
      </c>
      <c r="H555">
        <v>5109.21</v>
      </c>
    </row>
    <row r="556" spans="1:8" x14ac:dyDescent="0.2">
      <c r="A556" s="2">
        <v>45120</v>
      </c>
      <c r="B556">
        <v>29</v>
      </c>
      <c r="C556">
        <v>26</v>
      </c>
      <c r="D556">
        <v>87</v>
      </c>
      <c r="E556">
        <v>142</v>
      </c>
      <c r="F556">
        <v>86</v>
      </c>
      <c r="G556">
        <v>22.28</v>
      </c>
      <c r="H556">
        <v>3164.03</v>
      </c>
    </row>
    <row r="557" spans="1:8" x14ac:dyDescent="0.2">
      <c r="A557" s="2">
        <v>45121</v>
      </c>
      <c r="B557">
        <v>114</v>
      </c>
      <c r="C557">
        <v>36</v>
      </c>
      <c r="D557">
        <v>75</v>
      </c>
      <c r="E557">
        <v>225</v>
      </c>
      <c r="F557">
        <v>93</v>
      </c>
      <c r="G557">
        <v>29.84</v>
      </c>
      <c r="H557">
        <v>6714.74</v>
      </c>
    </row>
    <row r="558" spans="1:8" x14ac:dyDescent="0.2">
      <c r="A558" s="2">
        <v>45122</v>
      </c>
      <c r="B558">
        <v>193</v>
      </c>
      <c r="C558">
        <v>50</v>
      </c>
      <c r="D558">
        <v>66</v>
      </c>
      <c r="E558">
        <v>311</v>
      </c>
      <c r="F558">
        <v>95</v>
      </c>
      <c r="G558">
        <v>28.45</v>
      </c>
      <c r="H558">
        <v>8846.64</v>
      </c>
    </row>
    <row r="559" spans="1:8" x14ac:dyDescent="0.2">
      <c r="A559" s="2">
        <v>45123</v>
      </c>
      <c r="B559">
        <v>77</v>
      </c>
      <c r="C559">
        <v>15</v>
      </c>
      <c r="D559">
        <v>88</v>
      </c>
      <c r="E559">
        <v>180</v>
      </c>
      <c r="F559">
        <v>76</v>
      </c>
      <c r="G559">
        <v>24.53</v>
      </c>
      <c r="H559">
        <v>4414.7299999999996</v>
      </c>
    </row>
    <row r="560" spans="1:8" x14ac:dyDescent="0.2">
      <c r="A560" s="2">
        <v>45124</v>
      </c>
      <c r="B560">
        <v>32</v>
      </c>
      <c r="C560">
        <v>69</v>
      </c>
      <c r="D560">
        <v>80</v>
      </c>
      <c r="E560">
        <v>181</v>
      </c>
      <c r="F560">
        <v>88</v>
      </c>
      <c r="G560">
        <v>30.24</v>
      </c>
      <c r="H560">
        <v>5474.3</v>
      </c>
    </row>
    <row r="561" spans="1:8" x14ac:dyDescent="0.2">
      <c r="A561" s="2">
        <v>45125</v>
      </c>
      <c r="B561">
        <v>91</v>
      </c>
      <c r="C561">
        <v>45</v>
      </c>
      <c r="D561">
        <v>66</v>
      </c>
      <c r="E561">
        <v>202</v>
      </c>
      <c r="F561">
        <v>90</v>
      </c>
      <c r="G561">
        <v>23.45</v>
      </c>
      <c r="H561">
        <v>4736.21</v>
      </c>
    </row>
    <row r="562" spans="1:8" x14ac:dyDescent="0.2">
      <c r="A562" s="2">
        <v>45126</v>
      </c>
      <c r="B562">
        <v>132</v>
      </c>
      <c r="C562">
        <v>19</v>
      </c>
      <c r="D562">
        <v>105</v>
      </c>
      <c r="E562">
        <v>256</v>
      </c>
      <c r="F562">
        <v>84</v>
      </c>
      <c r="G562">
        <v>23.28</v>
      </c>
      <c r="H562">
        <v>5959.1</v>
      </c>
    </row>
    <row r="563" spans="1:8" x14ac:dyDescent="0.2">
      <c r="A563" s="2">
        <v>45127</v>
      </c>
      <c r="B563">
        <v>140</v>
      </c>
      <c r="C563">
        <v>34</v>
      </c>
      <c r="D563">
        <v>71</v>
      </c>
      <c r="E563">
        <v>245</v>
      </c>
      <c r="F563">
        <v>85</v>
      </c>
      <c r="G563">
        <v>26.02</v>
      </c>
      <c r="H563">
        <v>6373.96</v>
      </c>
    </row>
    <row r="564" spans="1:8" x14ac:dyDescent="0.2">
      <c r="A564" s="2">
        <v>45128</v>
      </c>
      <c r="B564">
        <v>202</v>
      </c>
      <c r="C564">
        <v>43</v>
      </c>
      <c r="D564">
        <v>55</v>
      </c>
      <c r="E564">
        <v>300</v>
      </c>
      <c r="F564">
        <v>94</v>
      </c>
      <c r="G564">
        <v>24.35</v>
      </c>
      <c r="H564">
        <v>7304.65</v>
      </c>
    </row>
    <row r="565" spans="1:8" x14ac:dyDescent="0.2">
      <c r="A565" s="2">
        <v>45129</v>
      </c>
      <c r="B565">
        <v>224</v>
      </c>
      <c r="C565">
        <v>29</v>
      </c>
      <c r="D565">
        <v>104</v>
      </c>
      <c r="E565">
        <v>357</v>
      </c>
      <c r="F565">
        <v>98</v>
      </c>
      <c r="G565">
        <v>27.82</v>
      </c>
      <c r="H565">
        <v>9932.0400000000009</v>
      </c>
    </row>
    <row r="566" spans="1:8" x14ac:dyDescent="0.2">
      <c r="A566" s="2">
        <v>45130</v>
      </c>
      <c r="B566">
        <v>74</v>
      </c>
      <c r="C566">
        <v>46</v>
      </c>
      <c r="D566">
        <v>100</v>
      </c>
      <c r="E566">
        <v>220</v>
      </c>
      <c r="F566">
        <v>88</v>
      </c>
      <c r="G566">
        <v>28.22</v>
      </c>
      <c r="H566">
        <v>6207.66</v>
      </c>
    </row>
    <row r="567" spans="1:8" x14ac:dyDescent="0.2">
      <c r="A567" s="2">
        <v>45131</v>
      </c>
      <c r="B567">
        <v>66</v>
      </c>
      <c r="C567">
        <v>37</v>
      </c>
      <c r="D567">
        <v>85</v>
      </c>
      <c r="E567">
        <v>188</v>
      </c>
      <c r="F567">
        <v>84</v>
      </c>
      <c r="G567">
        <v>26.13</v>
      </c>
      <c r="H567">
        <v>4911.68</v>
      </c>
    </row>
    <row r="568" spans="1:8" x14ac:dyDescent="0.2">
      <c r="A568" s="2">
        <v>45132</v>
      </c>
      <c r="B568">
        <v>79</v>
      </c>
      <c r="C568">
        <v>30</v>
      </c>
      <c r="D568">
        <v>109</v>
      </c>
      <c r="E568">
        <v>218</v>
      </c>
      <c r="F568">
        <v>85</v>
      </c>
      <c r="G568">
        <v>23.04</v>
      </c>
      <c r="H568">
        <v>5022.54</v>
      </c>
    </row>
    <row r="569" spans="1:8" x14ac:dyDescent="0.2">
      <c r="A569" s="2">
        <v>45133</v>
      </c>
      <c r="B569">
        <v>40</v>
      </c>
      <c r="C569">
        <v>59</v>
      </c>
      <c r="D569">
        <v>91</v>
      </c>
      <c r="E569">
        <v>190</v>
      </c>
      <c r="F569">
        <v>86</v>
      </c>
      <c r="G569">
        <v>22.63</v>
      </c>
      <c r="H569">
        <v>4299.12</v>
      </c>
    </row>
    <row r="570" spans="1:8" x14ac:dyDescent="0.2">
      <c r="A570" s="2">
        <v>45134</v>
      </c>
      <c r="B570">
        <v>48</v>
      </c>
      <c r="C570">
        <v>17</v>
      </c>
      <c r="D570">
        <v>80</v>
      </c>
      <c r="E570">
        <v>145</v>
      </c>
      <c r="F570">
        <v>76</v>
      </c>
      <c r="G570">
        <v>24.29</v>
      </c>
      <c r="H570">
        <v>3521.54</v>
      </c>
    </row>
    <row r="571" spans="1:8" x14ac:dyDescent="0.2">
      <c r="A571" s="2">
        <v>45135</v>
      </c>
      <c r="B571">
        <v>137</v>
      </c>
      <c r="C571">
        <v>20</v>
      </c>
      <c r="D571">
        <v>73</v>
      </c>
      <c r="E571">
        <v>230</v>
      </c>
      <c r="F571">
        <v>83</v>
      </c>
      <c r="G571">
        <v>25.29</v>
      </c>
      <c r="H571">
        <v>5816.69</v>
      </c>
    </row>
    <row r="572" spans="1:8" x14ac:dyDescent="0.2">
      <c r="A572" s="2">
        <v>45136</v>
      </c>
      <c r="B572">
        <v>176</v>
      </c>
      <c r="C572">
        <v>64</v>
      </c>
      <c r="D572">
        <v>83</v>
      </c>
      <c r="E572">
        <v>323</v>
      </c>
      <c r="F572">
        <v>86</v>
      </c>
      <c r="G572">
        <v>27.66</v>
      </c>
      <c r="H572">
        <v>8934.74</v>
      </c>
    </row>
    <row r="573" spans="1:8" x14ac:dyDescent="0.2">
      <c r="A573" s="2">
        <v>45137</v>
      </c>
      <c r="B573">
        <v>51</v>
      </c>
      <c r="C573">
        <v>40</v>
      </c>
      <c r="D573">
        <v>116</v>
      </c>
      <c r="E573">
        <v>207</v>
      </c>
      <c r="F573">
        <v>79</v>
      </c>
      <c r="G573">
        <v>20.73</v>
      </c>
      <c r="H573">
        <v>4290.29</v>
      </c>
    </row>
    <row r="574" spans="1:8" x14ac:dyDescent="0.2">
      <c r="A574" s="2">
        <v>45138</v>
      </c>
      <c r="B574">
        <v>47</v>
      </c>
      <c r="C574">
        <v>28</v>
      </c>
      <c r="D574">
        <v>84</v>
      </c>
      <c r="E574">
        <v>159</v>
      </c>
      <c r="F574">
        <v>77</v>
      </c>
      <c r="G574">
        <v>24.53</v>
      </c>
      <c r="H574">
        <v>3901.04</v>
      </c>
    </row>
    <row r="575" spans="1:8" x14ac:dyDescent="0.2">
      <c r="A575" s="2">
        <v>45139</v>
      </c>
      <c r="B575">
        <v>74</v>
      </c>
      <c r="C575">
        <v>17</v>
      </c>
      <c r="D575">
        <v>114</v>
      </c>
      <c r="E575">
        <v>205</v>
      </c>
      <c r="F575">
        <v>85</v>
      </c>
      <c r="G575">
        <v>23.02</v>
      </c>
      <c r="H575">
        <v>4718.53</v>
      </c>
    </row>
    <row r="576" spans="1:8" x14ac:dyDescent="0.2">
      <c r="A576" s="2">
        <v>45140</v>
      </c>
      <c r="B576">
        <v>35</v>
      </c>
      <c r="C576">
        <v>24</v>
      </c>
      <c r="D576">
        <v>63</v>
      </c>
      <c r="E576">
        <v>122</v>
      </c>
      <c r="F576">
        <v>82</v>
      </c>
      <c r="G576">
        <v>24.15</v>
      </c>
      <c r="H576">
        <v>2946.59</v>
      </c>
    </row>
    <row r="577" spans="1:8" x14ac:dyDescent="0.2">
      <c r="A577" s="2">
        <v>45141</v>
      </c>
      <c r="B577">
        <v>42</v>
      </c>
      <c r="C577">
        <v>15</v>
      </c>
      <c r="D577">
        <v>96</v>
      </c>
      <c r="E577">
        <v>153</v>
      </c>
      <c r="F577">
        <v>88</v>
      </c>
      <c r="G577">
        <v>25.14</v>
      </c>
      <c r="H577">
        <v>3846.71</v>
      </c>
    </row>
    <row r="578" spans="1:8" x14ac:dyDescent="0.2">
      <c r="A578" s="2">
        <v>45142</v>
      </c>
      <c r="B578">
        <v>114</v>
      </c>
      <c r="C578">
        <v>56</v>
      </c>
      <c r="D578">
        <v>61</v>
      </c>
      <c r="E578">
        <v>231</v>
      </c>
      <c r="F578">
        <v>93</v>
      </c>
      <c r="G578">
        <v>27.48</v>
      </c>
      <c r="H578">
        <v>6347.08</v>
      </c>
    </row>
    <row r="579" spans="1:8" x14ac:dyDescent="0.2">
      <c r="A579" s="2">
        <v>45143</v>
      </c>
      <c r="B579">
        <v>262</v>
      </c>
      <c r="C579">
        <v>39</v>
      </c>
      <c r="D579">
        <v>49</v>
      </c>
      <c r="E579">
        <v>350</v>
      </c>
      <c r="F579">
        <v>93</v>
      </c>
      <c r="G579">
        <v>22.91</v>
      </c>
      <c r="H579">
        <v>8017.48</v>
      </c>
    </row>
    <row r="580" spans="1:8" x14ac:dyDescent="0.2">
      <c r="A580" s="2">
        <v>45144</v>
      </c>
      <c r="B580">
        <v>87</v>
      </c>
      <c r="C580">
        <v>38</v>
      </c>
      <c r="D580">
        <v>106</v>
      </c>
      <c r="E580">
        <v>237</v>
      </c>
      <c r="F580">
        <v>88</v>
      </c>
      <c r="G580">
        <v>26.39</v>
      </c>
      <c r="H580">
        <v>6255.17</v>
      </c>
    </row>
    <row r="581" spans="1:8" x14ac:dyDescent="0.2">
      <c r="A581" s="2">
        <v>45145</v>
      </c>
      <c r="B581">
        <v>42</v>
      </c>
      <c r="C581">
        <v>26</v>
      </c>
      <c r="D581">
        <v>108</v>
      </c>
      <c r="E581">
        <v>176</v>
      </c>
      <c r="F581">
        <v>79</v>
      </c>
      <c r="G581">
        <v>20.45</v>
      </c>
      <c r="H581">
        <v>3599.26</v>
      </c>
    </row>
    <row r="582" spans="1:8" x14ac:dyDescent="0.2">
      <c r="A582" s="2">
        <v>45146</v>
      </c>
      <c r="B582">
        <v>55</v>
      </c>
      <c r="C582">
        <v>37</v>
      </c>
      <c r="D582">
        <v>100</v>
      </c>
      <c r="E582">
        <v>192</v>
      </c>
      <c r="F582">
        <v>80</v>
      </c>
      <c r="G582">
        <v>22.73</v>
      </c>
      <c r="H582">
        <v>4363.67</v>
      </c>
    </row>
    <row r="583" spans="1:8" x14ac:dyDescent="0.2">
      <c r="A583" s="2">
        <v>45147</v>
      </c>
      <c r="B583">
        <v>58</v>
      </c>
      <c r="C583">
        <v>24</v>
      </c>
      <c r="D583">
        <v>74</v>
      </c>
      <c r="E583">
        <v>156</v>
      </c>
      <c r="F583">
        <v>87</v>
      </c>
      <c r="G583">
        <v>24.53</v>
      </c>
      <c r="H583">
        <v>3826.47</v>
      </c>
    </row>
    <row r="584" spans="1:8" x14ac:dyDescent="0.2">
      <c r="A584" s="2">
        <v>45148</v>
      </c>
      <c r="B584">
        <v>58</v>
      </c>
      <c r="C584">
        <v>35</v>
      </c>
      <c r="D584">
        <v>86</v>
      </c>
      <c r="E584">
        <v>179</v>
      </c>
      <c r="F584">
        <v>86</v>
      </c>
      <c r="G584">
        <v>25.69</v>
      </c>
      <c r="H584">
        <v>4598.66</v>
      </c>
    </row>
    <row r="585" spans="1:8" x14ac:dyDescent="0.2">
      <c r="A585" s="2">
        <v>45149</v>
      </c>
      <c r="B585">
        <v>115</v>
      </c>
      <c r="C585">
        <v>23</v>
      </c>
      <c r="D585">
        <v>58</v>
      </c>
      <c r="E585">
        <v>196</v>
      </c>
      <c r="F585">
        <v>80</v>
      </c>
      <c r="G585">
        <v>23.6</v>
      </c>
      <c r="H585">
        <v>4624.97</v>
      </c>
    </row>
    <row r="586" spans="1:8" x14ac:dyDescent="0.2">
      <c r="A586" s="2">
        <v>45150</v>
      </c>
      <c r="B586">
        <v>205</v>
      </c>
      <c r="C586">
        <v>46</v>
      </c>
      <c r="D586">
        <v>99</v>
      </c>
      <c r="E586">
        <v>350</v>
      </c>
      <c r="F586">
        <v>90</v>
      </c>
      <c r="G586">
        <v>25.52</v>
      </c>
      <c r="H586">
        <v>8932.84</v>
      </c>
    </row>
    <row r="587" spans="1:8" x14ac:dyDescent="0.2">
      <c r="A587" s="2">
        <v>45151</v>
      </c>
      <c r="B587">
        <v>54</v>
      </c>
      <c r="C587">
        <v>66</v>
      </c>
      <c r="D587">
        <v>96</v>
      </c>
      <c r="E587">
        <v>216</v>
      </c>
      <c r="F587">
        <v>88</v>
      </c>
      <c r="G587">
        <v>21.69</v>
      </c>
      <c r="H587">
        <v>4684.87</v>
      </c>
    </row>
    <row r="588" spans="1:8" x14ac:dyDescent="0.2">
      <c r="A588" s="2">
        <v>45152</v>
      </c>
      <c r="B588">
        <v>70</v>
      </c>
      <c r="C588">
        <v>33</v>
      </c>
      <c r="D588">
        <v>56</v>
      </c>
      <c r="E588">
        <v>161</v>
      </c>
      <c r="F588">
        <v>94</v>
      </c>
      <c r="G588">
        <v>25.98</v>
      </c>
      <c r="H588">
        <v>4183.53</v>
      </c>
    </row>
    <row r="589" spans="1:8" x14ac:dyDescent="0.2">
      <c r="A589" s="2">
        <v>45153</v>
      </c>
      <c r="B589">
        <v>74</v>
      </c>
      <c r="C589">
        <v>38</v>
      </c>
      <c r="D589">
        <v>63</v>
      </c>
      <c r="E589">
        <v>175</v>
      </c>
      <c r="F589">
        <v>98</v>
      </c>
      <c r="G589">
        <v>28.03</v>
      </c>
      <c r="H589">
        <v>4904.4799999999996</v>
      </c>
    </row>
    <row r="590" spans="1:8" x14ac:dyDescent="0.2">
      <c r="A590" s="2">
        <v>45154</v>
      </c>
      <c r="B590">
        <v>78</v>
      </c>
      <c r="C590">
        <v>13</v>
      </c>
      <c r="D590">
        <v>92</v>
      </c>
      <c r="E590">
        <v>188</v>
      </c>
      <c r="F590">
        <v>80</v>
      </c>
      <c r="G590">
        <v>25.59</v>
      </c>
      <c r="H590">
        <v>4811.84</v>
      </c>
    </row>
    <row r="591" spans="1:8" x14ac:dyDescent="0.2">
      <c r="A591" s="2">
        <v>45155</v>
      </c>
      <c r="B591">
        <v>56</v>
      </c>
      <c r="C591">
        <v>43</v>
      </c>
      <c r="D591">
        <v>58</v>
      </c>
      <c r="E591">
        <v>159</v>
      </c>
      <c r="F591">
        <v>84</v>
      </c>
      <c r="G591">
        <v>24.86</v>
      </c>
      <c r="H591">
        <v>3952.33</v>
      </c>
    </row>
    <row r="592" spans="1:8" x14ac:dyDescent="0.2">
      <c r="A592" s="2">
        <v>45156</v>
      </c>
      <c r="B592">
        <v>108</v>
      </c>
      <c r="C592">
        <v>58</v>
      </c>
      <c r="D592">
        <v>52</v>
      </c>
      <c r="E592">
        <v>220</v>
      </c>
      <c r="F592">
        <v>90</v>
      </c>
      <c r="G592">
        <v>26.31</v>
      </c>
      <c r="H592">
        <v>5788.93</v>
      </c>
    </row>
    <row r="593" spans="1:8" x14ac:dyDescent="0.2">
      <c r="A593" s="2">
        <v>45157</v>
      </c>
      <c r="B593">
        <v>168</v>
      </c>
      <c r="C593">
        <v>32</v>
      </c>
      <c r="D593">
        <v>57</v>
      </c>
      <c r="E593">
        <v>259</v>
      </c>
      <c r="F593">
        <v>85</v>
      </c>
      <c r="G593">
        <v>28.75</v>
      </c>
      <c r="H593">
        <v>7446.47</v>
      </c>
    </row>
    <row r="594" spans="1:8" x14ac:dyDescent="0.2">
      <c r="A594" s="2">
        <v>45158</v>
      </c>
      <c r="B594">
        <v>44</v>
      </c>
      <c r="C594">
        <v>43</v>
      </c>
      <c r="D594">
        <v>82</v>
      </c>
      <c r="E594">
        <v>169</v>
      </c>
      <c r="F594">
        <v>84</v>
      </c>
      <c r="G594">
        <v>26.15</v>
      </c>
      <c r="H594">
        <v>4418.51</v>
      </c>
    </row>
    <row r="595" spans="1:8" x14ac:dyDescent="0.2">
      <c r="A595" s="2">
        <v>45159</v>
      </c>
      <c r="B595">
        <v>38</v>
      </c>
      <c r="C595">
        <v>37</v>
      </c>
      <c r="D595">
        <v>75</v>
      </c>
      <c r="E595">
        <v>150</v>
      </c>
      <c r="F595">
        <v>91</v>
      </c>
      <c r="G595">
        <v>28.81</v>
      </c>
      <c r="H595">
        <v>4322.2299999999996</v>
      </c>
    </row>
    <row r="596" spans="1:8" x14ac:dyDescent="0.2">
      <c r="A596" s="2">
        <v>45160</v>
      </c>
      <c r="B596">
        <v>100</v>
      </c>
      <c r="C596">
        <v>21</v>
      </c>
      <c r="D596">
        <v>82</v>
      </c>
      <c r="E596">
        <v>203</v>
      </c>
      <c r="F596">
        <v>85</v>
      </c>
      <c r="G596">
        <v>23.61</v>
      </c>
      <c r="H596">
        <v>4792.59</v>
      </c>
    </row>
    <row r="597" spans="1:8" x14ac:dyDescent="0.2">
      <c r="A597" s="2">
        <v>45161</v>
      </c>
      <c r="B597">
        <v>58</v>
      </c>
      <c r="C597">
        <v>35</v>
      </c>
      <c r="D597">
        <v>60</v>
      </c>
      <c r="E597">
        <v>153</v>
      </c>
      <c r="F597">
        <v>82</v>
      </c>
      <c r="G597">
        <v>29.41</v>
      </c>
      <c r="H597">
        <v>4499.96</v>
      </c>
    </row>
    <row r="598" spans="1:8" x14ac:dyDescent="0.2">
      <c r="A598" s="2">
        <v>45162</v>
      </c>
      <c r="B598">
        <v>61</v>
      </c>
      <c r="C598">
        <v>32</v>
      </c>
      <c r="D598">
        <v>65</v>
      </c>
      <c r="E598">
        <v>160</v>
      </c>
      <c r="F598">
        <v>83</v>
      </c>
      <c r="G598">
        <v>24.47</v>
      </c>
      <c r="H598">
        <v>3914.58</v>
      </c>
    </row>
    <row r="599" spans="1:8" x14ac:dyDescent="0.2">
      <c r="A599" s="2">
        <v>45163</v>
      </c>
      <c r="B599">
        <v>158</v>
      </c>
      <c r="C599">
        <v>26</v>
      </c>
      <c r="D599">
        <v>73</v>
      </c>
      <c r="E599">
        <v>257</v>
      </c>
      <c r="F599">
        <v>88</v>
      </c>
      <c r="G599">
        <v>23.14</v>
      </c>
      <c r="H599">
        <v>5947.87</v>
      </c>
    </row>
    <row r="600" spans="1:8" x14ac:dyDescent="0.2">
      <c r="A600" s="2">
        <v>45164</v>
      </c>
      <c r="B600">
        <v>166</v>
      </c>
      <c r="C600">
        <v>36</v>
      </c>
      <c r="D600">
        <v>88</v>
      </c>
      <c r="E600">
        <v>290</v>
      </c>
      <c r="F600">
        <v>87</v>
      </c>
      <c r="G600">
        <v>26.69</v>
      </c>
      <c r="H600">
        <v>7739.91</v>
      </c>
    </row>
    <row r="601" spans="1:8" x14ac:dyDescent="0.2">
      <c r="A601" s="2">
        <v>45165</v>
      </c>
      <c r="B601">
        <v>139</v>
      </c>
      <c r="C601">
        <v>64</v>
      </c>
      <c r="D601">
        <v>83</v>
      </c>
      <c r="E601">
        <v>286</v>
      </c>
      <c r="F601">
        <v>88</v>
      </c>
      <c r="G601">
        <v>25.87</v>
      </c>
      <c r="H601">
        <v>7399.02</v>
      </c>
    </row>
    <row r="602" spans="1:8" x14ac:dyDescent="0.2">
      <c r="A602" s="2">
        <v>45166</v>
      </c>
      <c r="B602">
        <v>68</v>
      </c>
      <c r="C602">
        <v>43</v>
      </c>
      <c r="D602">
        <v>111</v>
      </c>
      <c r="E602">
        <v>222</v>
      </c>
      <c r="F602">
        <v>85</v>
      </c>
      <c r="G602">
        <v>28.21</v>
      </c>
      <c r="H602">
        <v>6263.51</v>
      </c>
    </row>
    <row r="603" spans="1:8" x14ac:dyDescent="0.2">
      <c r="A603" s="2">
        <v>45167</v>
      </c>
      <c r="B603">
        <v>44</v>
      </c>
      <c r="C603">
        <v>45</v>
      </c>
      <c r="D603">
        <v>72</v>
      </c>
      <c r="E603">
        <v>161</v>
      </c>
      <c r="F603">
        <v>80</v>
      </c>
      <c r="G603">
        <v>24.01</v>
      </c>
      <c r="H603">
        <v>3865.65</v>
      </c>
    </row>
    <row r="604" spans="1:8" x14ac:dyDescent="0.2">
      <c r="A604" s="2">
        <v>45168</v>
      </c>
      <c r="B604">
        <v>37</v>
      </c>
      <c r="C604">
        <v>37</v>
      </c>
      <c r="D604">
        <v>89</v>
      </c>
      <c r="E604">
        <v>163</v>
      </c>
      <c r="F604">
        <v>76</v>
      </c>
      <c r="G604">
        <v>23.4</v>
      </c>
      <c r="H604">
        <v>3814.92</v>
      </c>
    </row>
    <row r="605" spans="1:8" x14ac:dyDescent="0.2">
      <c r="A605" s="2">
        <v>45169</v>
      </c>
      <c r="B605">
        <v>40</v>
      </c>
      <c r="C605">
        <v>30</v>
      </c>
      <c r="D605">
        <v>96</v>
      </c>
      <c r="E605">
        <v>166</v>
      </c>
      <c r="F605">
        <v>76</v>
      </c>
      <c r="G605">
        <v>19.13</v>
      </c>
      <c r="H605">
        <v>3175.66</v>
      </c>
    </row>
    <row r="606" spans="1:8" x14ac:dyDescent="0.2">
      <c r="A606" s="2">
        <v>45170</v>
      </c>
      <c r="B606">
        <v>65</v>
      </c>
      <c r="C606">
        <v>53</v>
      </c>
      <c r="D606">
        <v>71</v>
      </c>
      <c r="E606">
        <v>191</v>
      </c>
      <c r="F606">
        <v>90</v>
      </c>
      <c r="G606">
        <v>25.14</v>
      </c>
      <c r="H606">
        <v>4801.29</v>
      </c>
    </row>
    <row r="607" spans="1:8" x14ac:dyDescent="0.2">
      <c r="A607" s="2">
        <v>45171</v>
      </c>
      <c r="B607">
        <v>194</v>
      </c>
      <c r="C607">
        <v>46</v>
      </c>
      <c r="D607">
        <v>63</v>
      </c>
      <c r="E607">
        <v>303</v>
      </c>
      <c r="F607">
        <v>89</v>
      </c>
      <c r="G607">
        <v>25.87</v>
      </c>
      <c r="H607">
        <v>7838.41</v>
      </c>
    </row>
    <row r="608" spans="1:8" x14ac:dyDescent="0.2">
      <c r="A608" s="2">
        <v>45172</v>
      </c>
      <c r="B608">
        <v>43</v>
      </c>
      <c r="C608">
        <v>33</v>
      </c>
      <c r="D608">
        <v>66</v>
      </c>
      <c r="E608">
        <v>142</v>
      </c>
      <c r="F608">
        <v>81</v>
      </c>
      <c r="G608">
        <v>22.29</v>
      </c>
      <c r="H608">
        <v>3165.06</v>
      </c>
    </row>
    <row r="609" spans="1:8" x14ac:dyDescent="0.2">
      <c r="A609" s="2">
        <v>45173</v>
      </c>
      <c r="B609">
        <v>24</v>
      </c>
      <c r="C609">
        <v>43</v>
      </c>
      <c r="D609">
        <v>56</v>
      </c>
      <c r="E609">
        <v>123</v>
      </c>
      <c r="F609">
        <v>84</v>
      </c>
      <c r="G609">
        <v>24.34</v>
      </c>
      <c r="H609">
        <v>2993.54</v>
      </c>
    </row>
    <row r="610" spans="1:8" x14ac:dyDescent="0.2">
      <c r="A610" s="2">
        <v>45174</v>
      </c>
      <c r="B610">
        <v>38</v>
      </c>
      <c r="C610">
        <v>15</v>
      </c>
      <c r="D610">
        <v>57</v>
      </c>
      <c r="E610">
        <v>110</v>
      </c>
      <c r="F610">
        <v>77</v>
      </c>
      <c r="G610">
        <v>19.29</v>
      </c>
      <c r="H610">
        <v>2122.08</v>
      </c>
    </row>
    <row r="611" spans="1:8" x14ac:dyDescent="0.2">
      <c r="A611" s="2">
        <v>45175</v>
      </c>
      <c r="B611">
        <v>59</v>
      </c>
      <c r="C611">
        <v>23</v>
      </c>
      <c r="D611">
        <v>53</v>
      </c>
      <c r="E611">
        <v>135</v>
      </c>
      <c r="F611">
        <v>85</v>
      </c>
      <c r="G611">
        <v>28.05</v>
      </c>
      <c r="H611">
        <v>3786.26</v>
      </c>
    </row>
    <row r="612" spans="1:8" x14ac:dyDescent="0.2">
      <c r="A612" s="2">
        <v>45176</v>
      </c>
      <c r="B612">
        <v>76</v>
      </c>
      <c r="C612">
        <v>9</v>
      </c>
      <c r="D612">
        <v>60</v>
      </c>
      <c r="E612">
        <v>145</v>
      </c>
      <c r="F612">
        <v>84</v>
      </c>
      <c r="G612">
        <v>21.79</v>
      </c>
      <c r="H612">
        <v>3159.09</v>
      </c>
    </row>
    <row r="613" spans="1:8" x14ac:dyDescent="0.2">
      <c r="A613" s="2">
        <v>45177</v>
      </c>
      <c r="B613">
        <v>122</v>
      </c>
      <c r="C613">
        <v>26</v>
      </c>
      <c r="D613">
        <v>69</v>
      </c>
      <c r="E613">
        <v>217</v>
      </c>
      <c r="F613">
        <v>82</v>
      </c>
      <c r="G613">
        <v>24.7</v>
      </c>
      <c r="H613">
        <v>5359.52</v>
      </c>
    </row>
    <row r="614" spans="1:8" x14ac:dyDescent="0.2">
      <c r="A614" s="2">
        <v>45178</v>
      </c>
      <c r="B614">
        <v>196</v>
      </c>
      <c r="C614">
        <v>50</v>
      </c>
      <c r="D614">
        <v>89</v>
      </c>
      <c r="E614">
        <v>335</v>
      </c>
      <c r="F614">
        <v>89</v>
      </c>
      <c r="G614">
        <v>25.59</v>
      </c>
      <c r="H614">
        <v>8571.02</v>
      </c>
    </row>
    <row r="615" spans="1:8" x14ac:dyDescent="0.2">
      <c r="A615" s="2">
        <v>45179</v>
      </c>
      <c r="B615">
        <v>32</v>
      </c>
      <c r="C615">
        <v>41</v>
      </c>
      <c r="D615">
        <v>55</v>
      </c>
      <c r="E615">
        <v>128</v>
      </c>
      <c r="F615">
        <v>75</v>
      </c>
      <c r="G615">
        <v>28.33</v>
      </c>
      <c r="H615">
        <v>3625.79</v>
      </c>
    </row>
    <row r="616" spans="1:8" x14ac:dyDescent="0.2">
      <c r="A616" s="2">
        <v>45180</v>
      </c>
      <c r="B616">
        <v>12</v>
      </c>
      <c r="C616">
        <v>37</v>
      </c>
      <c r="D616">
        <v>104</v>
      </c>
      <c r="E616">
        <v>153</v>
      </c>
      <c r="F616">
        <v>75</v>
      </c>
      <c r="G616">
        <v>18.96</v>
      </c>
      <c r="H616">
        <v>2901.19</v>
      </c>
    </row>
    <row r="617" spans="1:8" x14ac:dyDescent="0.2">
      <c r="A617" s="2">
        <v>45181</v>
      </c>
      <c r="B617">
        <v>32</v>
      </c>
      <c r="C617">
        <v>44</v>
      </c>
      <c r="D617">
        <v>61</v>
      </c>
      <c r="E617">
        <v>137</v>
      </c>
      <c r="F617">
        <v>80</v>
      </c>
      <c r="G617">
        <v>27.86</v>
      </c>
      <c r="H617">
        <v>3816.82</v>
      </c>
    </row>
    <row r="618" spans="1:8" x14ac:dyDescent="0.2">
      <c r="A618" s="2">
        <v>45182</v>
      </c>
      <c r="B618">
        <v>62</v>
      </c>
      <c r="C618">
        <v>33</v>
      </c>
      <c r="D618">
        <v>70</v>
      </c>
      <c r="E618">
        <v>166</v>
      </c>
      <c r="F618">
        <v>83</v>
      </c>
      <c r="G618">
        <v>30.84</v>
      </c>
      <c r="H618">
        <v>5118.67</v>
      </c>
    </row>
    <row r="619" spans="1:8" x14ac:dyDescent="0.2">
      <c r="A619" s="2">
        <v>45183</v>
      </c>
      <c r="B619">
        <v>58</v>
      </c>
      <c r="C619">
        <v>37</v>
      </c>
      <c r="D619">
        <v>85</v>
      </c>
      <c r="E619">
        <v>182</v>
      </c>
      <c r="F619">
        <v>85</v>
      </c>
      <c r="G619">
        <v>21.85</v>
      </c>
      <c r="H619">
        <v>3976.01</v>
      </c>
    </row>
    <row r="620" spans="1:8" x14ac:dyDescent="0.2">
      <c r="A620" s="2">
        <v>45184</v>
      </c>
      <c r="B620">
        <v>120</v>
      </c>
      <c r="C620">
        <v>29</v>
      </c>
      <c r="D620">
        <v>62</v>
      </c>
      <c r="E620">
        <v>211</v>
      </c>
      <c r="F620">
        <v>83</v>
      </c>
      <c r="G620">
        <v>28.79</v>
      </c>
      <c r="H620">
        <v>6074.94</v>
      </c>
    </row>
    <row r="621" spans="1:8" x14ac:dyDescent="0.2">
      <c r="A621" s="2">
        <v>45185</v>
      </c>
      <c r="B621">
        <v>232</v>
      </c>
      <c r="C621">
        <v>46</v>
      </c>
      <c r="D621">
        <v>84</v>
      </c>
      <c r="E621">
        <v>362</v>
      </c>
      <c r="F621">
        <v>99</v>
      </c>
      <c r="G621">
        <v>25.42</v>
      </c>
      <c r="H621">
        <v>9202.4699999999993</v>
      </c>
    </row>
    <row r="622" spans="1:8" x14ac:dyDescent="0.2">
      <c r="A622" s="2">
        <v>45186</v>
      </c>
      <c r="B622">
        <v>73</v>
      </c>
      <c r="C622">
        <v>46</v>
      </c>
      <c r="D622">
        <v>60</v>
      </c>
      <c r="E622">
        <v>179</v>
      </c>
      <c r="F622">
        <v>88</v>
      </c>
      <c r="G622">
        <v>27.17</v>
      </c>
      <c r="H622">
        <v>4864.2700000000004</v>
      </c>
    </row>
    <row r="623" spans="1:8" x14ac:dyDescent="0.2">
      <c r="A623" s="2">
        <v>45187</v>
      </c>
      <c r="B623">
        <v>32</v>
      </c>
      <c r="C623">
        <v>19</v>
      </c>
      <c r="D623">
        <v>85</v>
      </c>
      <c r="E623">
        <v>137</v>
      </c>
      <c r="F623">
        <v>81</v>
      </c>
      <c r="G623">
        <v>25.08</v>
      </c>
      <c r="H623">
        <v>3435.91</v>
      </c>
    </row>
    <row r="624" spans="1:8" x14ac:dyDescent="0.2">
      <c r="A624" s="2">
        <v>45188</v>
      </c>
      <c r="B624">
        <v>31</v>
      </c>
      <c r="C624">
        <v>15</v>
      </c>
      <c r="D624">
        <v>67</v>
      </c>
      <c r="E624">
        <v>113</v>
      </c>
      <c r="F624">
        <v>92</v>
      </c>
      <c r="G624">
        <v>25.53</v>
      </c>
      <c r="H624">
        <v>2884.35</v>
      </c>
    </row>
    <row r="625" spans="1:8" x14ac:dyDescent="0.2">
      <c r="A625" s="2">
        <v>45189</v>
      </c>
      <c r="B625">
        <v>53</v>
      </c>
      <c r="C625">
        <v>30</v>
      </c>
      <c r="D625">
        <v>41</v>
      </c>
      <c r="E625">
        <v>124</v>
      </c>
      <c r="F625">
        <v>80</v>
      </c>
      <c r="G625">
        <v>24.21</v>
      </c>
      <c r="H625">
        <v>3001.86</v>
      </c>
    </row>
    <row r="626" spans="1:8" x14ac:dyDescent="0.2">
      <c r="A626" s="2">
        <v>45190</v>
      </c>
      <c r="B626">
        <v>26</v>
      </c>
      <c r="C626">
        <v>20</v>
      </c>
      <c r="D626">
        <v>65</v>
      </c>
      <c r="E626">
        <v>111</v>
      </c>
      <c r="F626">
        <v>74</v>
      </c>
      <c r="G626">
        <v>26.03</v>
      </c>
      <c r="H626">
        <v>2888.98</v>
      </c>
    </row>
    <row r="627" spans="1:8" x14ac:dyDescent="0.2">
      <c r="A627" s="2">
        <v>45191</v>
      </c>
      <c r="B627">
        <v>117</v>
      </c>
      <c r="C627">
        <v>23</v>
      </c>
      <c r="D627">
        <v>68</v>
      </c>
      <c r="E627">
        <v>208</v>
      </c>
      <c r="F627">
        <v>89</v>
      </c>
      <c r="G627">
        <v>22.53</v>
      </c>
      <c r="H627">
        <v>4685.59</v>
      </c>
    </row>
    <row r="628" spans="1:8" x14ac:dyDescent="0.2">
      <c r="A628" s="2">
        <v>45192</v>
      </c>
      <c r="B628">
        <v>218</v>
      </c>
      <c r="C628">
        <v>51</v>
      </c>
      <c r="D628">
        <v>75</v>
      </c>
      <c r="E628">
        <v>344</v>
      </c>
      <c r="F628">
        <v>92</v>
      </c>
      <c r="G628">
        <v>25.13</v>
      </c>
      <c r="H628">
        <v>8644.6</v>
      </c>
    </row>
    <row r="629" spans="1:8" x14ac:dyDescent="0.2">
      <c r="A629" s="2">
        <v>45193</v>
      </c>
      <c r="B629">
        <v>33</v>
      </c>
      <c r="C629">
        <v>37</v>
      </c>
      <c r="D629">
        <v>46</v>
      </c>
      <c r="E629">
        <v>116</v>
      </c>
      <c r="F629">
        <v>85</v>
      </c>
      <c r="G629">
        <v>22.42</v>
      </c>
      <c r="H629">
        <v>2600.9899999999998</v>
      </c>
    </row>
    <row r="630" spans="1:8" x14ac:dyDescent="0.2">
      <c r="A630" s="2">
        <v>45194</v>
      </c>
      <c r="B630">
        <v>20</v>
      </c>
      <c r="C630">
        <v>26</v>
      </c>
      <c r="D630">
        <v>71</v>
      </c>
      <c r="E630">
        <v>117</v>
      </c>
      <c r="F630">
        <v>72</v>
      </c>
      <c r="G630">
        <v>26.05</v>
      </c>
      <c r="H630">
        <v>3047.63</v>
      </c>
    </row>
    <row r="631" spans="1:8" x14ac:dyDescent="0.2">
      <c r="A631" s="2">
        <v>45195</v>
      </c>
      <c r="B631">
        <v>99</v>
      </c>
      <c r="C631">
        <v>10</v>
      </c>
      <c r="D631">
        <v>56</v>
      </c>
      <c r="E631">
        <v>165</v>
      </c>
      <c r="F631">
        <v>77</v>
      </c>
      <c r="G631">
        <v>22.39</v>
      </c>
      <c r="H631">
        <v>3694.42</v>
      </c>
    </row>
    <row r="632" spans="1:8" x14ac:dyDescent="0.2">
      <c r="A632" s="2">
        <v>45196</v>
      </c>
      <c r="B632">
        <v>50</v>
      </c>
      <c r="C632">
        <v>36</v>
      </c>
      <c r="D632">
        <v>66</v>
      </c>
      <c r="E632">
        <v>152</v>
      </c>
      <c r="F632">
        <v>82</v>
      </c>
      <c r="G632">
        <v>23.13</v>
      </c>
      <c r="H632">
        <v>3516.03</v>
      </c>
    </row>
    <row r="633" spans="1:8" x14ac:dyDescent="0.2">
      <c r="A633" s="2">
        <v>45197</v>
      </c>
      <c r="B633">
        <v>89</v>
      </c>
      <c r="C633">
        <v>28</v>
      </c>
      <c r="D633">
        <v>53</v>
      </c>
      <c r="E633">
        <v>170</v>
      </c>
      <c r="F633">
        <v>89</v>
      </c>
      <c r="G633">
        <v>29.86</v>
      </c>
      <c r="H633">
        <v>5076.2299999999996</v>
      </c>
    </row>
    <row r="634" spans="1:8" x14ac:dyDescent="0.2">
      <c r="A634" s="2">
        <v>45198</v>
      </c>
      <c r="B634">
        <v>131</v>
      </c>
      <c r="C634">
        <v>30</v>
      </c>
      <c r="D634">
        <v>83</v>
      </c>
      <c r="E634">
        <v>244</v>
      </c>
      <c r="F634">
        <v>92</v>
      </c>
      <c r="G634">
        <v>26.6</v>
      </c>
      <c r="H634">
        <v>6490.7</v>
      </c>
    </row>
    <row r="635" spans="1:8" x14ac:dyDescent="0.2">
      <c r="A635" s="2">
        <v>45199</v>
      </c>
      <c r="B635">
        <v>216</v>
      </c>
      <c r="C635">
        <v>32</v>
      </c>
      <c r="D635">
        <v>66</v>
      </c>
      <c r="E635">
        <v>314</v>
      </c>
      <c r="F635">
        <v>92</v>
      </c>
      <c r="G635">
        <v>26</v>
      </c>
      <c r="H635">
        <v>8165.32</v>
      </c>
    </row>
    <row r="636" spans="1:8" x14ac:dyDescent="0.2">
      <c r="A636" s="2">
        <v>45200</v>
      </c>
      <c r="B636">
        <v>66</v>
      </c>
      <c r="C636">
        <v>24</v>
      </c>
      <c r="D636">
        <v>103</v>
      </c>
      <c r="E636">
        <v>193</v>
      </c>
      <c r="F636">
        <v>87</v>
      </c>
      <c r="G636">
        <v>25.99</v>
      </c>
      <c r="H636">
        <v>5016.03</v>
      </c>
    </row>
    <row r="637" spans="1:8" x14ac:dyDescent="0.2">
      <c r="A637" s="2">
        <v>45201</v>
      </c>
      <c r="B637">
        <v>22</v>
      </c>
      <c r="C637">
        <v>16</v>
      </c>
      <c r="D637">
        <v>64</v>
      </c>
      <c r="E637">
        <v>102</v>
      </c>
      <c r="F637">
        <v>81</v>
      </c>
      <c r="G637">
        <v>26.76</v>
      </c>
      <c r="H637">
        <v>2729.43</v>
      </c>
    </row>
    <row r="638" spans="1:8" x14ac:dyDescent="0.2">
      <c r="A638" s="2">
        <v>45202</v>
      </c>
      <c r="B638">
        <v>26</v>
      </c>
      <c r="C638">
        <v>15</v>
      </c>
      <c r="D638">
        <v>80</v>
      </c>
      <c r="E638">
        <v>121</v>
      </c>
      <c r="F638">
        <v>79</v>
      </c>
      <c r="G638">
        <v>17.79</v>
      </c>
      <c r="H638">
        <v>2152.98</v>
      </c>
    </row>
    <row r="639" spans="1:8" x14ac:dyDescent="0.2">
      <c r="A639" s="2">
        <v>45203</v>
      </c>
      <c r="B639">
        <v>64</v>
      </c>
      <c r="C639">
        <v>10</v>
      </c>
      <c r="D639">
        <v>49</v>
      </c>
      <c r="E639">
        <v>123</v>
      </c>
      <c r="F639">
        <v>78</v>
      </c>
      <c r="G639">
        <v>25.21</v>
      </c>
      <c r="H639">
        <v>3100.69</v>
      </c>
    </row>
    <row r="640" spans="1:8" x14ac:dyDescent="0.2">
      <c r="A640" s="2">
        <v>45204</v>
      </c>
      <c r="B640">
        <v>27</v>
      </c>
      <c r="C640">
        <v>18</v>
      </c>
      <c r="D640">
        <v>79</v>
      </c>
      <c r="E640">
        <v>124</v>
      </c>
      <c r="F640">
        <v>102</v>
      </c>
      <c r="G640">
        <v>0</v>
      </c>
      <c r="H640">
        <v>0</v>
      </c>
    </row>
    <row r="641" spans="1:8" x14ac:dyDescent="0.2">
      <c r="A641" s="2">
        <v>45205</v>
      </c>
      <c r="B641">
        <v>115</v>
      </c>
      <c r="C641">
        <v>39</v>
      </c>
      <c r="D641">
        <v>76</v>
      </c>
      <c r="E641">
        <v>230</v>
      </c>
      <c r="F641">
        <v>92</v>
      </c>
      <c r="G641">
        <v>26.65</v>
      </c>
      <c r="H641">
        <v>6130.17</v>
      </c>
    </row>
    <row r="642" spans="1:8" x14ac:dyDescent="0.2">
      <c r="A642" s="2">
        <v>45206</v>
      </c>
      <c r="B642">
        <v>252</v>
      </c>
      <c r="C642">
        <v>54</v>
      </c>
      <c r="D642">
        <v>76</v>
      </c>
      <c r="E642">
        <v>382</v>
      </c>
      <c r="F642">
        <v>88</v>
      </c>
      <c r="G642">
        <v>24.8</v>
      </c>
      <c r="H642">
        <v>9472.36</v>
      </c>
    </row>
    <row r="643" spans="1:8" x14ac:dyDescent="0.2">
      <c r="A643" s="2">
        <v>45207</v>
      </c>
      <c r="B643">
        <v>73</v>
      </c>
      <c r="C643">
        <v>28</v>
      </c>
      <c r="D643">
        <v>67</v>
      </c>
      <c r="E643">
        <v>168</v>
      </c>
      <c r="F643">
        <v>86</v>
      </c>
      <c r="G643">
        <v>23.65</v>
      </c>
      <c r="H643">
        <v>3973.26</v>
      </c>
    </row>
    <row r="644" spans="1:8" x14ac:dyDescent="0.2">
      <c r="A644" s="2">
        <v>45208</v>
      </c>
      <c r="B644">
        <v>80</v>
      </c>
      <c r="C644">
        <v>30</v>
      </c>
      <c r="D644">
        <v>59</v>
      </c>
      <c r="E644">
        <v>169</v>
      </c>
      <c r="F644">
        <v>81</v>
      </c>
      <c r="G644">
        <v>26.24</v>
      </c>
      <c r="H644">
        <v>4434.92</v>
      </c>
    </row>
    <row r="645" spans="1:8" x14ac:dyDescent="0.2">
      <c r="A645" s="2">
        <v>45209</v>
      </c>
      <c r="B645">
        <v>121</v>
      </c>
      <c r="C645">
        <v>20</v>
      </c>
      <c r="D645">
        <v>46</v>
      </c>
      <c r="E645">
        <v>187</v>
      </c>
      <c r="F645">
        <v>78</v>
      </c>
      <c r="G645">
        <v>22.14</v>
      </c>
      <c r="H645">
        <v>4140.5600000000004</v>
      </c>
    </row>
    <row r="646" spans="1:8" x14ac:dyDescent="0.2">
      <c r="A646" s="2">
        <v>45210</v>
      </c>
      <c r="B646">
        <v>145</v>
      </c>
      <c r="C646">
        <v>33</v>
      </c>
      <c r="D646">
        <v>46</v>
      </c>
      <c r="E646">
        <v>224</v>
      </c>
      <c r="F646">
        <v>85</v>
      </c>
      <c r="G646">
        <v>21.95</v>
      </c>
      <c r="H646">
        <v>4917.4799999999996</v>
      </c>
    </row>
    <row r="647" spans="1:8" x14ac:dyDescent="0.2">
      <c r="A647" s="2">
        <v>45211</v>
      </c>
      <c r="B647">
        <v>130</v>
      </c>
      <c r="C647">
        <v>41</v>
      </c>
      <c r="D647">
        <v>40</v>
      </c>
      <c r="E647">
        <v>213</v>
      </c>
      <c r="F647">
        <v>81</v>
      </c>
      <c r="G647">
        <v>21.64</v>
      </c>
      <c r="H647">
        <v>4610.2700000000004</v>
      </c>
    </row>
    <row r="648" spans="1:8" x14ac:dyDescent="0.2">
      <c r="A648" s="2">
        <v>45212</v>
      </c>
      <c r="B648">
        <v>166</v>
      </c>
      <c r="C648">
        <v>30</v>
      </c>
      <c r="D648">
        <v>51</v>
      </c>
      <c r="E648">
        <v>247</v>
      </c>
      <c r="F648">
        <v>88</v>
      </c>
      <c r="G648">
        <v>24.27</v>
      </c>
      <c r="H648">
        <v>5994.03</v>
      </c>
    </row>
    <row r="649" spans="1:8" x14ac:dyDescent="0.2">
      <c r="A649" s="2">
        <v>45213</v>
      </c>
      <c r="B649">
        <v>210</v>
      </c>
      <c r="C649">
        <v>50</v>
      </c>
      <c r="D649">
        <v>88</v>
      </c>
      <c r="E649">
        <v>348</v>
      </c>
      <c r="F649">
        <v>92</v>
      </c>
      <c r="G649">
        <v>25.39</v>
      </c>
      <c r="H649">
        <v>8836.89</v>
      </c>
    </row>
    <row r="650" spans="1:8" x14ac:dyDescent="0.2">
      <c r="A650" s="2">
        <v>45214</v>
      </c>
      <c r="B650">
        <v>166</v>
      </c>
      <c r="C650">
        <v>39</v>
      </c>
      <c r="D650">
        <v>72</v>
      </c>
      <c r="E650">
        <v>277</v>
      </c>
      <c r="F650">
        <v>81</v>
      </c>
      <c r="G650">
        <v>22.68</v>
      </c>
      <c r="H650">
        <v>6283.48</v>
      </c>
    </row>
    <row r="651" spans="1:8" x14ac:dyDescent="0.2">
      <c r="A651" s="2">
        <v>45215</v>
      </c>
      <c r="B651">
        <v>36</v>
      </c>
      <c r="C651">
        <v>33</v>
      </c>
      <c r="D651">
        <v>81</v>
      </c>
      <c r="E651">
        <v>150</v>
      </c>
      <c r="F651">
        <v>79</v>
      </c>
      <c r="G651">
        <v>26.91</v>
      </c>
      <c r="H651">
        <v>4036.45</v>
      </c>
    </row>
    <row r="652" spans="1:8" x14ac:dyDescent="0.2">
      <c r="A652" s="2">
        <v>45216</v>
      </c>
      <c r="B652">
        <v>35</v>
      </c>
      <c r="C652">
        <v>29</v>
      </c>
      <c r="D652">
        <v>81</v>
      </c>
      <c r="E652">
        <v>145</v>
      </c>
      <c r="F652">
        <v>77</v>
      </c>
      <c r="G652">
        <v>20.66</v>
      </c>
      <c r="H652">
        <v>2995.11</v>
      </c>
    </row>
    <row r="653" spans="1:8" x14ac:dyDescent="0.2">
      <c r="A653" s="2">
        <v>45217</v>
      </c>
      <c r="B653">
        <v>47</v>
      </c>
      <c r="C653">
        <v>20</v>
      </c>
      <c r="D653">
        <v>61</v>
      </c>
      <c r="E653">
        <v>128</v>
      </c>
      <c r="F653">
        <v>88</v>
      </c>
      <c r="G653">
        <v>25.34</v>
      </c>
      <c r="H653">
        <v>3244.11</v>
      </c>
    </row>
    <row r="654" spans="1:8" x14ac:dyDescent="0.2">
      <c r="A654" s="2">
        <v>45218</v>
      </c>
      <c r="B654">
        <v>56</v>
      </c>
      <c r="C654">
        <v>22</v>
      </c>
      <c r="D654">
        <v>79</v>
      </c>
      <c r="E654">
        <v>157</v>
      </c>
      <c r="F654">
        <v>81</v>
      </c>
      <c r="G654">
        <v>25.24</v>
      </c>
      <c r="H654">
        <v>3962.21</v>
      </c>
    </row>
    <row r="655" spans="1:8" x14ac:dyDescent="0.2">
      <c r="A655" s="2">
        <v>45219</v>
      </c>
      <c r="B655">
        <v>102</v>
      </c>
      <c r="C655">
        <v>17</v>
      </c>
      <c r="D655">
        <v>66</v>
      </c>
      <c r="E655">
        <v>185</v>
      </c>
      <c r="F655">
        <v>85</v>
      </c>
      <c r="G655">
        <v>25.56</v>
      </c>
      <c r="H655">
        <v>4728.68</v>
      </c>
    </row>
    <row r="656" spans="1:8" x14ac:dyDescent="0.2">
      <c r="A656" s="2">
        <v>45220</v>
      </c>
      <c r="B656">
        <v>199</v>
      </c>
      <c r="C656">
        <v>37</v>
      </c>
      <c r="D656">
        <v>75</v>
      </c>
      <c r="E656">
        <v>313</v>
      </c>
      <c r="F656">
        <v>89</v>
      </c>
      <c r="G656">
        <v>28.03</v>
      </c>
      <c r="H656">
        <v>8774.34</v>
      </c>
    </row>
    <row r="657" spans="1:8" x14ac:dyDescent="0.2">
      <c r="A657" s="2">
        <v>45221</v>
      </c>
      <c r="B657">
        <v>98</v>
      </c>
      <c r="C657">
        <v>53</v>
      </c>
      <c r="D657">
        <v>94</v>
      </c>
      <c r="E657">
        <v>245</v>
      </c>
      <c r="F657">
        <v>83</v>
      </c>
      <c r="G657">
        <v>21.78</v>
      </c>
      <c r="H657">
        <v>5335.92</v>
      </c>
    </row>
    <row r="658" spans="1:8" x14ac:dyDescent="0.2">
      <c r="A658" s="2">
        <v>45222</v>
      </c>
      <c r="B658">
        <v>42</v>
      </c>
      <c r="C658">
        <v>51</v>
      </c>
      <c r="D658">
        <v>95</v>
      </c>
      <c r="E658">
        <v>188</v>
      </c>
      <c r="F658">
        <v>81</v>
      </c>
      <c r="G658">
        <v>23.59</v>
      </c>
      <c r="H658">
        <v>4435.58</v>
      </c>
    </row>
    <row r="659" spans="1:8" x14ac:dyDescent="0.2">
      <c r="A659" s="2">
        <v>45223</v>
      </c>
      <c r="B659">
        <v>57</v>
      </c>
      <c r="C659">
        <v>29</v>
      </c>
      <c r="D659">
        <v>66</v>
      </c>
      <c r="E659">
        <v>152</v>
      </c>
      <c r="F659">
        <v>91</v>
      </c>
      <c r="G659">
        <v>30.27</v>
      </c>
      <c r="H659">
        <v>4600.75</v>
      </c>
    </row>
    <row r="660" spans="1:8" x14ac:dyDescent="0.2">
      <c r="A660" s="2">
        <v>45224</v>
      </c>
      <c r="B660">
        <v>65</v>
      </c>
      <c r="C660">
        <v>33</v>
      </c>
      <c r="D660">
        <v>83</v>
      </c>
      <c r="E660">
        <v>181</v>
      </c>
      <c r="F660">
        <v>82</v>
      </c>
      <c r="G660">
        <v>25.19</v>
      </c>
      <c r="H660">
        <v>4558.83</v>
      </c>
    </row>
    <row r="661" spans="1:8" x14ac:dyDescent="0.2">
      <c r="A661" s="2">
        <v>45225</v>
      </c>
      <c r="B661">
        <v>96</v>
      </c>
      <c r="C661">
        <v>25</v>
      </c>
      <c r="D661">
        <v>63</v>
      </c>
      <c r="E661">
        <v>184</v>
      </c>
      <c r="F661">
        <v>87</v>
      </c>
      <c r="G661">
        <v>24.17</v>
      </c>
      <c r="H661">
        <v>4448.16</v>
      </c>
    </row>
    <row r="662" spans="1:8" x14ac:dyDescent="0.2">
      <c r="A662" s="2">
        <v>45226</v>
      </c>
      <c r="B662">
        <v>132</v>
      </c>
      <c r="C662">
        <v>19</v>
      </c>
      <c r="D662">
        <v>85</v>
      </c>
      <c r="E662">
        <v>236</v>
      </c>
      <c r="F662">
        <v>84</v>
      </c>
      <c r="G662">
        <v>30.3</v>
      </c>
      <c r="H662">
        <v>7151.58</v>
      </c>
    </row>
    <row r="663" spans="1:8" x14ac:dyDescent="0.2">
      <c r="A663" s="2">
        <v>45227</v>
      </c>
      <c r="B663">
        <v>229</v>
      </c>
      <c r="C663">
        <v>51</v>
      </c>
      <c r="D663">
        <v>104</v>
      </c>
      <c r="E663">
        <v>386</v>
      </c>
      <c r="F663">
        <v>90</v>
      </c>
      <c r="G663">
        <v>25.35</v>
      </c>
      <c r="H663">
        <v>9785.7900000000009</v>
      </c>
    </row>
    <row r="664" spans="1:8" x14ac:dyDescent="0.2">
      <c r="A664" s="2">
        <v>45228</v>
      </c>
      <c r="B664">
        <v>91</v>
      </c>
      <c r="C664">
        <v>33</v>
      </c>
      <c r="D664">
        <v>70</v>
      </c>
      <c r="E664">
        <v>194</v>
      </c>
      <c r="F664">
        <v>87</v>
      </c>
      <c r="G664">
        <v>27.52</v>
      </c>
      <c r="H664">
        <v>5338.29</v>
      </c>
    </row>
    <row r="665" spans="1:8" x14ac:dyDescent="0.2">
      <c r="A665" s="2">
        <v>45229</v>
      </c>
      <c r="B665">
        <v>66</v>
      </c>
      <c r="C665">
        <v>24</v>
      </c>
      <c r="D665">
        <v>91</v>
      </c>
      <c r="E665">
        <v>181</v>
      </c>
      <c r="F665">
        <v>81</v>
      </c>
      <c r="G665">
        <v>20.67</v>
      </c>
      <c r="H665">
        <v>3740.85</v>
      </c>
    </row>
    <row r="666" spans="1:8" x14ac:dyDescent="0.2">
      <c r="A666" s="2">
        <v>45230</v>
      </c>
      <c r="B666">
        <v>39</v>
      </c>
      <c r="C666">
        <v>20</v>
      </c>
      <c r="D666">
        <v>88</v>
      </c>
      <c r="E666">
        <v>155</v>
      </c>
      <c r="F666">
        <v>82</v>
      </c>
      <c r="G666">
        <v>24.79</v>
      </c>
      <c r="H666">
        <v>3842.39</v>
      </c>
    </row>
    <row r="667" spans="1:8" x14ac:dyDescent="0.2">
      <c r="A667" s="2">
        <v>45231</v>
      </c>
      <c r="B667">
        <v>55</v>
      </c>
      <c r="C667">
        <v>17</v>
      </c>
      <c r="D667">
        <v>81</v>
      </c>
      <c r="E667">
        <v>153</v>
      </c>
      <c r="F667">
        <v>76</v>
      </c>
      <c r="G667">
        <v>17.739999999999998</v>
      </c>
      <c r="H667">
        <v>2714.72</v>
      </c>
    </row>
    <row r="668" spans="1:8" x14ac:dyDescent="0.2">
      <c r="A668" s="2">
        <v>45232</v>
      </c>
      <c r="B668">
        <v>79</v>
      </c>
      <c r="C668">
        <v>37</v>
      </c>
      <c r="D668">
        <v>62</v>
      </c>
      <c r="E668">
        <v>178</v>
      </c>
      <c r="F668">
        <v>81</v>
      </c>
      <c r="G668">
        <v>26.88</v>
      </c>
      <c r="H668">
        <v>4785.5200000000004</v>
      </c>
    </row>
    <row r="669" spans="1:8" x14ac:dyDescent="0.2">
      <c r="A669" s="2">
        <v>45233</v>
      </c>
      <c r="B669">
        <v>109</v>
      </c>
      <c r="C669">
        <v>50</v>
      </c>
      <c r="D669">
        <v>104</v>
      </c>
      <c r="E669">
        <v>263</v>
      </c>
      <c r="F669">
        <v>87</v>
      </c>
      <c r="G669">
        <v>25.66</v>
      </c>
      <c r="H669">
        <v>6747.67</v>
      </c>
    </row>
    <row r="670" spans="1:8" x14ac:dyDescent="0.2">
      <c r="A670" s="2">
        <v>45234</v>
      </c>
      <c r="B670">
        <v>193</v>
      </c>
      <c r="C670">
        <v>36</v>
      </c>
      <c r="D670">
        <v>110</v>
      </c>
      <c r="E670">
        <v>339</v>
      </c>
      <c r="F670">
        <v>88</v>
      </c>
      <c r="G670">
        <v>30.01</v>
      </c>
      <c r="H670">
        <v>10175.1</v>
      </c>
    </row>
    <row r="671" spans="1:8" x14ac:dyDescent="0.2">
      <c r="A671" s="2">
        <v>45235</v>
      </c>
      <c r="B671">
        <v>63</v>
      </c>
      <c r="C671">
        <v>20</v>
      </c>
      <c r="D671">
        <v>125</v>
      </c>
      <c r="E671">
        <v>208</v>
      </c>
      <c r="F671">
        <v>80</v>
      </c>
      <c r="G671">
        <v>19.16</v>
      </c>
      <c r="H671">
        <v>3986.01</v>
      </c>
    </row>
    <row r="672" spans="1:8" x14ac:dyDescent="0.2">
      <c r="A672" s="2">
        <v>45236</v>
      </c>
      <c r="B672">
        <v>16</v>
      </c>
      <c r="C672">
        <v>11</v>
      </c>
      <c r="D672">
        <v>83</v>
      </c>
      <c r="E672">
        <v>110</v>
      </c>
      <c r="F672">
        <v>81</v>
      </c>
      <c r="G672">
        <v>24.11</v>
      </c>
      <c r="H672">
        <v>2651.65</v>
      </c>
    </row>
    <row r="673" spans="1:8" x14ac:dyDescent="0.2">
      <c r="A673" s="2">
        <v>45237</v>
      </c>
      <c r="B673">
        <v>49</v>
      </c>
      <c r="C673">
        <v>29</v>
      </c>
      <c r="D673">
        <v>65</v>
      </c>
      <c r="E673">
        <v>143</v>
      </c>
      <c r="F673">
        <v>81</v>
      </c>
      <c r="G673">
        <v>26.02</v>
      </c>
      <c r="H673">
        <v>3720.27</v>
      </c>
    </row>
    <row r="674" spans="1:8" x14ac:dyDescent="0.2">
      <c r="A674" s="2">
        <v>45238</v>
      </c>
      <c r="B674">
        <v>40</v>
      </c>
      <c r="C674">
        <v>14</v>
      </c>
      <c r="D674">
        <v>61</v>
      </c>
      <c r="E674">
        <v>115</v>
      </c>
      <c r="F674">
        <v>77</v>
      </c>
      <c r="G674">
        <v>23.9</v>
      </c>
      <c r="H674">
        <v>2748.41</v>
      </c>
    </row>
    <row r="675" spans="1:8" x14ac:dyDescent="0.2">
      <c r="A675" s="2">
        <v>45239</v>
      </c>
      <c r="B675">
        <v>46</v>
      </c>
      <c r="C675">
        <v>22</v>
      </c>
      <c r="D675">
        <v>52</v>
      </c>
      <c r="E675">
        <v>120</v>
      </c>
      <c r="F675">
        <v>89</v>
      </c>
      <c r="G675">
        <v>25.95</v>
      </c>
      <c r="H675">
        <v>3113.93</v>
      </c>
    </row>
    <row r="676" spans="1:8" x14ac:dyDescent="0.2">
      <c r="A676" s="2">
        <v>45240</v>
      </c>
      <c r="B676">
        <v>163</v>
      </c>
      <c r="C676">
        <v>21</v>
      </c>
      <c r="D676">
        <v>94</v>
      </c>
      <c r="E676">
        <v>278</v>
      </c>
      <c r="F676">
        <v>86</v>
      </c>
      <c r="G676">
        <v>24</v>
      </c>
      <c r="H676">
        <v>6673.39</v>
      </c>
    </row>
    <row r="677" spans="1:8" x14ac:dyDescent="0.2">
      <c r="A677" s="2">
        <v>45241</v>
      </c>
      <c r="B677">
        <v>250</v>
      </c>
      <c r="C677">
        <v>51</v>
      </c>
      <c r="D677">
        <v>90</v>
      </c>
      <c r="E677">
        <v>396</v>
      </c>
      <c r="F677">
        <v>94</v>
      </c>
      <c r="G677">
        <v>24.36</v>
      </c>
      <c r="H677">
        <v>9646.0300000000007</v>
      </c>
    </row>
    <row r="678" spans="1:8" x14ac:dyDescent="0.2">
      <c r="A678" s="2">
        <v>45242</v>
      </c>
      <c r="B678">
        <v>79</v>
      </c>
      <c r="C678">
        <v>28</v>
      </c>
      <c r="D678">
        <v>48</v>
      </c>
      <c r="E678">
        <v>155</v>
      </c>
      <c r="F678">
        <v>83</v>
      </c>
      <c r="G678">
        <v>28</v>
      </c>
      <c r="H678">
        <v>4339.8900000000003</v>
      </c>
    </row>
    <row r="679" spans="1:8" x14ac:dyDescent="0.2">
      <c r="A679" s="2">
        <v>45243</v>
      </c>
      <c r="B679">
        <v>55</v>
      </c>
      <c r="C679">
        <v>17</v>
      </c>
      <c r="D679">
        <v>83</v>
      </c>
      <c r="E679">
        <v>155</v>
      </c>
      <c r="F679">
        <v>89</v>
      </c>
      <c r="G679">
        <v>22.3</v>
      </c>
      <c r="H679">
        <v>3456.8</v>
      </c>
    </row>
    <row r="680" spans="1:8" x14ac:dyDescent="0.2">
      <c r="A680" s="2">
        <v>45244</v>
      </c>
      <c r="B680">
        <v>73</v>
      </c>
      <c r="C680">
        <v>20</v>
      </c>
      <c r="D680">
        <v>100</v>
      </c>
      <c r="E680">
        <v>193</v>
      </c>
      <c r="F680">
        <v>80</v>
      </c>
      <c r="G680">
        <v>22.97</v>
      </c>
      <c r="H680">
        <v>4433.83</v>
      </c>
    </row>
    <row r="681" spans="1:8" x14ac:dyDescent="0.2">
      <c r="A681" s="2">
        <v>45245</v>
      </c>
      <c r="B681">
        <v>72</v>
      </c>
      <c r="C681">
        <v>24</v>
      </c>
      <c r="D681">
        <v>53</v>
      </c>
      <c r="E681">
        <v>149</v>
      </c>
      <c r="F681">
        <v>89</v>
      </c>
      <c r="G681">
        <v>29.28</v>
      </c>
      <c r="H681">
        <v>4362.5600000000004</v>
      </c>
    </row>
    <row r="682" spans="1:8" x14ac:dyDescent="0.2">
      <c r="A682" s="2">
        <v>45246</v>
      </c>
      <c r="B682">
        <v>75</v>
      </c>
      <c r="C682">
        <v>38</v>
      </c>
      <c r="D682">
        <v>45</v>
      </c>
      <c r="E682">
        <v>162</v>
      </c>
      <c r="F682">
        <v>90</v>
      </c>
      <c r="G682">
        <v>23.61</v>
      </c>
      <c r="H682">
        <v>3825.58</v>
      </c>
    </row>
    <row r="683" spans="1:8" x14ac:dyDescent="0.2">
      <c r="A683" s="2">
        <v>45247</v>
      </c>
      <c r="B683">
        <v>171</v>
      </c>
      <c r="C683">
        <v>16</v>
      </c>
      <c r="D683">
        <v>93</v>
      </c>
      <c r="E683">
        <v>280</v>
      </c>
      <c r="F683">
        <v>87</v>
      </c>
      <c r="G683">
        <v>26.5</v>
      </c>
      <c r="H683">
        <v>7418.6</v>
      </c>
    </row>
    <row r="684" spans="1:8" x14ac:dyDescent="0.2">
      <c r="A684" s="2">
        <v>45248</v>
      </c>
      <c r="B684">
        <v>350</v>
      </c>
      <c r="C684">
        <v>41</v>
      </c>
      <c r="D684">
        <v>54</v>
      </c>
      <c r="E684">
        <v>445</v>
      </c>
      <c r="F684">
        <v>101</v>
      </c>
      <c r="G684">
        <v>26.68</v>
      </c>
      <c r="H684">
        <v>11872.13</v>
      </c>
    </row>
    <row r="685" spans="1:8" x14ac:dyDescent="0.2">
      <c r="A685" s="2">
        <v>45249</v>
      </c>
      <c r="B685">
        <v>83</v>
      </c>
      <c r="C685">
        <v>22</v>
      </c>
      <c r="D685">
        <v>70</v>
      </c>
      <c r="E685">
        <v>175</v>
      </c>
      <c r="F685">
        <v>83</v>
      </c>
      <c r="G685">
        <v>23.01</v>
      </c>
      <c r="H685">
        <v>4026.1</v>
      </c>
    </row>
    <row r="686" spans="1:8" x14ac:dyDescent="0.2">
      <c r="A686" s="2">
        <v>45250</v>
      </c>
      <c r="B686">
        <v>38</v>
      </c>
      <c r="C686">
        <v>28</v>
      </c>
      <c r="D686">
        <v>68</v>
      </c>
      <c r="E686">
        <v>134</v>
      </c>
      <c r="F686">
        <v>84</v>
      </c>
      <c r="G686">
        <v>29.43</v>
      </c>
      <c r="H686">
        <v>3943.19</v>
      </c>
    </row>
    <row r="687" spans="1:8" x14ac:dyDescent="0.2">
      <c r="A687" s="2">
        <v>45251</v>
      </c>
      <c r="B687">
        <v>63</v>
      </c>
      <c r="C687">
        <v>12</v>
      </c>
      <c r="D687">
        <v>62</v>
      </c>
      <c r="E687">
        <v>139</v>
      </c>
      <c r="F687">
        <v>81</v>
      </c>
      <c r="G687">
        <v>26.89</v>
      </c>
      <c r="H687">
        <v>3737.16</v>
      </c>
    </row>
    <row r="688" spans="1:8" x14ac:dyDescent="0.2">
      <c r="A688" s="2">
        <v>45252</v>
      </c>
      <c r="B688">
        <v>46</v>
      </c>
      <c r="C688">
        <v>14</v>
      </c>
      <c r="D688">
        <v>63</v>
      </c>
      <c r="E688">
        <v>123</v>
      </c>
      <c r="F688">
        <v>83</v>
      </c>
      <c r="G688">
        <v>28.87</v>
      </c>
      <c r="H688">
        <v>3550.45</v>
      </c>
    </row>
    <row r="689" spans="1:8" x14ac:dyDescent="0.2">
      <c r="A689" s="2">
        <v>45253</v>
      </c>
      <c r="B689">
        <v>75</v>
      </c>
      <c r="C689">
        <v>14</v>
      </c>
      <c r="D689">
        <v>72</v>
      </c>
      <c r="E689">
        <v>161</v>
      </c>
      <c r="F689">
        <v>90</v>
      </c>
      <c r="G689">
        <v>28.49</v>
      </c>
      <c r="H689">
        <v>4586.83</v>
      </c>
    </row>
    <row r="690" spans="1:8" x14ac:dyDescent="0.2">
      <c r="A690" s="2">
        <v>45254</v>
      </c>
      <c r="B690">
        <v>146</v>
      </c>
      <c r="C690">
        <v>53</v>
      </c>
      <c r="D690">
        <v>83</v>
      </c>
      <c r="E690">
        <v>282</v>
      </c>
      <c r="F690">
        <v>88</v>
      </c>
      <c r="G690">
        <v>28.92</v>
      </c>
      <c r="H690">
        <v>8156.57</v>
      </c>
    </row>
    <row r="691" spans="1:8" x14ac:dyDescent="0.2">
      <c r="A691" s="2">
        <v>45255</v>
      </c>
      <c r="B691">
        <v>379</v>
      </c>
      <c r="C691">
        <v>14</v>
      </c>
      <c r="D691">
        <v>76</v>
      </c>
      <c r="E691">
        <v>469</v>
      </c>
      <c r="F691">
        <v>96</v>
      </c>
      <c r="G691">
        <v>28.06</v>
      </c>
      <c r="H691">
        <v>13157.89</v>
      </c>
    </row>
    <row r="692" spans="1:8" x14ac:dyDescent="0.2">
      <c r="A692" s="2">
        <v>45256</v>
      </c>
      <c r="B692">
        <v>138</v>
      </c>
      <c r="C692">
        <v>42</v>
      </c>
      <c r="D692">
        <v>74</v>
      </c>
      <c r="E692">
        <v>254</v>
      </c>
      <c r="F692">
        <v>93</v>
      </c>
      <c r="G692">
        <v>24.32</v>
      </c>
      <c r="H692">
        <v>6178.29</v>
      </c>
    </row>
    <row r="693" spans="1:8" x14ac:dyDescent="0.2">
      <c r="A693" s="2">
        <v>45257</v>
      </c>
      <c r="B693">
        <v>50</v>
      </c>
      <c r="C693">
        <v>22</v>
      </c>
      <c r="D693">
        <v>61</v>
      </c>
      <c r="E693">
        <v>133</v>
      </c>
      <c r="F693">
        <v>88</v>
      </c>
      <c r="G693">
        <v>33.61</v>
      </c>
      <c r="H693">
        <v>4470.4399999999996</v>
      </c>
    </row>
    <row r="694" spans="1:8" x14ac:dyDescent="0.2">
      <c r="A694" s="2">
        <v>45258</v>
      </c>
      <c r="B694">
        <v>66</v>
      </c>
      <c r="C694">
        <v>21</v>
      </c>
      <c r="D694">
        <v>73</v>
      </c>
      <c r="E694">
        <v>162</v>
      </c>
      <c r="F694">
        <v>89</v>
      </c>
      <c r="G694">
        <v>28.07</v>
      </c>
      <c r="H694">
        <v>4547</v>
      </c>
    </row>
    <row r="695" spans="1:8" x14ac:dyDescent="0.2">
      <c r="A695" s="2">
        <v>45259</v>
      </c>
      <c r="B695">
        <v>39</v>
      </c>
      <c r="C695">
        <v>11</v>
      </c>
      <c r="D695">
        <v>75</v>
      </c>
      <c r="E695">
        <v>125</v>
      </c>
      <c r="F695">
        <v>87</v>
      </c>
      <c r="G695">
        <v>32.72</v>
      </c>
      <c r="H695">
        <v>4089.43</v>
      </c>
    </row>
    <row r="696" spans="1:8" x14ac:dyDescent="0.2">
      <c r="A696" s="2">
        <v>45260</v>
      </c>
      <c r="B696">
        <v>111</v>
      </c>
      <c r="C696">
        <v>23</v>
      </c>
      <c r="D696">
        <v>58</v>
      </c>
      <c r="E696">
        <v>192</v>
      </c>
      <c r="F696">
        <v>87</v>
      </c>
      <c r="G696">
        <v>22.65</v>
      </c>
      <c r="H696">
        <v>4348.87</v>
      </c>
    </row>
    <row r="697" spans="1:8" x14ac:dyDescent="0.2">
      <c r="A697" s="2">
        <v>45261</v>
      </c>
      <c r="B697">
        <v>240</v>
      </c>
      <c r="C697">
        <v>29</v>
      </c>
      <c r="D697">
        <v>58</v>
      </c>
      <c r="E697">
        <v>327</v>
      </c>
      <c r="F697">
        <v>92</v>
      </c>
      <c r="G697">
        <v>21.48</v>
      </c>
      <c r="H697">
        <v>7023.93</v>
      </c>
    </row>
    <row r="698" spans="1:8" x14ac:dyDescent="0.2">
      <c r="A698" s="2">
        <v>45262</v>
      </c>
      <c r="B698">
        <v>348</v>
      </c>
      <c r="C698">
        <v>28</v>
      </c>
      <c r="D698">
        <v>68</v>
      </c>
      <c r="E698">
        <v>444</v>
      </c>
      <c r="F698">
        <v>99</v>
      </c>
      <c r="G698">
        <v>28.18</v>
      </c>
      <c r="H698">
        <v>12512.96</v>
      </c>
    </row>
    <row r="699" spans="1:8" x14ac:dyDescent="0.2">
      <c r="A699" s="2">
        <v>45263</v>
      </c>
      <c r="B699">
        <v>131</v>
      </c>
      <c r="C699">
        <v>50</v>
      </c>
      <c r="D699">
        <v>58</v>
      </c>
      <c r="E699">
        <v>239</v>
      </c>
      <c r="F699">
        <v>86</v>
      </c>
      <c r="G699">
        <v>29.66</v>
      </c>
      <c r="H699">
        <v>7088.95</v>
      </c>
    </row>
    <row r="700" spans="1:8" x14ac:dyDescent="0.2">
      <c r="A700" s="2">
        <v>45264</v>
      </c>
      <c r="B700">
        <v>69</v>
      </c>
      <c r="C700">
        <v>24</v>
      </c>
      <c r="D700">
        <v>59</v>
      </c>
      <c r="E700">
        <v>152</v>
      </c>
      <c r="F700">
        <v>86</v>
      </c>
      <c r="G700">
        <v>29.26</v>
      </c>
      <c r="H700">
        <v>4448.2</v>
      </c>
    </row>
    <row r="701" spans="1:8" x14ac:dyDescent="0.2">
      <c r="A701" s="2">
        <v>45265</v>
      </c>
      <c r="B701">
        <v>81</v>
      </c>
      <c r="C701">
        <v>25</v>
      </c>
      <c r="D701">
        <v>62</v>
      </c>
      <c r="E701">
        <v>171</v>
      </c>
      <c r="F701">
        <v>80</v>
      </c>
      <c r="G701">
        <v>21.4</v>
      </c>
      <c r="H701">
        <v>3658.55</v>
      </c>
    </row>
    <row r="702" spans="1:8" x14ac:dyDescent="0.2">
      <c r="A702" s="2">
        <v>45266</v>
      </c>
      <c r="B702">
        <v>132</v>
      </c>
      <c r="C702">
        <v>25</v>
      </c>
      <c r="D702">
        <v>58</v>
      </c>
      <c r="E702">
        <v>215</v>
      </c>
      <c r="F702">
        <v>87</v>
      </c>
      <c r="G702">
        <v>21.02</v>
      </c>
      <c r="H702">
        <v>4519.8999999999996</v>
      </c>
    </row>
    <row r="703" spans="1:8" x14ac:dyDescent="0.2">
      <c r="A703" s="2">
        <v>45267</v>
      </c>
      <c r="B703">
        <v>178</v>
      </c>
      <c r="C703">
        <v>20</v>
      </c>
      <c r="D703">
        <v>59</v>
      </c>
      <c r="E703">
        <v>257</v>
      </c>
      <c r="F703">
        <v>95</v>
      </c>
      <c r="G703">
        <v>17.79</v>
      </c>
      <c r="H703">
        <v>4572.6499999999996</v>
      </c>
    </row>
    <row r="704" spans="1:8" x14ac:dyDescent="0.2">
      <c r="A704" s="2">
        <v>45268</v>
      </c>
      <c r="B704">
        <v>185</v>
      </c>
      <c r="C704">
        <v>22</v>
      </c>
      <c r="D704">
        <v>90</v>
      </c>
      <c r="E704">
        <v>297</v>
      </c>
      <c r="F704">
        <v>95</v>
      </c>
      <c r="G704">
        <v>24.47</v>
      </c>
      <c r="H704">
        <v>7267.21</v>
      </c>
    </row>
    <row r="705" spans="1:8" x14ac:dyDescent="0.2">
      <c r="A705" s="2">
        <v>45269</v>
      </c>
      <c r="B705">
        <v>355</v>
      </c>
      <c r="C705">
        <v>32</v>
      </c>
      <c r="D705">
        <v>28</v>
      </c>
      <c r="E705">
        <v>415</v>
      </c>
      <c r="F705">
        <v>102</v>
      </c>
      <c r="G705">
        <v>24.08</v>
      </c>
      <c r="H705">
        <v>9992.44</v>
      </c>
    </row>
    <row r="706" spans="1:8" x14ac:dyDescent="0.2">
      <c r="A706" s="2">
        <v>45270</v>
      </c>
      <c r="B706">
        <v>166</v>
      </c>
      <c r="C706">
        <v>35</v>
      </c>
      <c r="D706">
        <v>75</v>
      </c>
      <c r="E706">
        <v>276</v>
      </c>
      <c r="F706">
        <v>90</v>
      </c>
      <c r="G706">
        <v>24.8</v>
      </c>
      <c r="H706">
        <v>6845.01</v>
      </c>
    </row>
    <row r="707" spans="1:8" x14ac:dyDescent="0.2">
      <c r="A707" s="2">
        <v>45271</v>
      </c>
      <c r="B707">
        <v>80</v>
      </c>
      <c r="C707">
        <v>33</v>
      </c>
      <c r="D707">
        <v>98</v>
      </c>
      <c r="E707">
        <v>211</v>
      </c>
      <c r="F707">
        <v>85</v>
      </c>
      <c r="G707">
        <v>21.9</v>
      </c>
      <c r="H707">
        <v>4620.29</v>
      </c>
    </row>
    <row r="708" spans="1:8" x14ac:dyDescent="0.2">
      <c r="A708" s="2">
        <v>45272</v>
      </c>
      <c r="B708">
        <v>211</v>
      </c>
      <c r="C708">
        <v>28</v>
      </c>
      <c r="D708">
        <v>57</v>
      </c>
      <c r="E708">
        <v>296</v>
      </c>
      <c r="F708">
        <v>92</v>
      </c>
      <c r="G708">
        <v>24.02</v>
      </c>
      <c r="H708">
        <v>7111.03</v>
      </c>
    </row>
    <row r="709" spans="1:8" x14ac:dyDescent="0.2">
      <c r="A709" s="2">
        <v>45273</v>
      </c>
      <c r="B709">
        <v>131</v>
      </c>
      <c r="C709">
        <v>30</v>
      </c>
      <c r="D709">
        <v>62</v>
      </c>
      <c r="E709">
        <v>225</v>
      </c>
      <c r="F709">
        <v>98</v>
      </c>
      <c r="G709">
        <v>24.1</v>
      </c>
      <c r="H709">
        <v>5421.45</v>
      </c>
    </row>
    <row r="710" spans="1:8" x14ac:dyDescent="0.2">
      <c r="A710" s="2">
        <v>45274</v>
      </c>
      <c r="B710">
        <v>197</v>
      </c>
      <c r="C710">
        <v>24</v>
      </c>
      <c r="D710">
        <v>55</v>
      </c>
      <c r="E710">
        <v>276</v>
      </c>
      <c r="F710">
        <v>95</v>
      </c>
      <c r="G710">
        <v>19.93</v>
      </c>
      <c r="H710">
        <v>5501.98</v>
      </c>
    </row>
    <row r="711" spans="1:8" x14ac:dyDescent="0.2">
      <c r="A711" s="2">
        <v>45275</v>
      </c>
      <c r="B711">
        <v>224</v>
      </c>
      <c r="C711">
        <v>26</v>
      </c>
      <c r="D711">
        <v>74</v>
      </c>
      <c r="E711">
        <v>324</v>
      </c>
      <c r="F711">
        <v>92</v>
      </c>
      <c r="G711">
        <v>27.62</v>
      </c>
      <c r="H711">
        <v>8949.5300000000007</v>
      </c>
    </row>
    <row r="712" spans="1:8" x14ac:dyDescent="0.2">
      <c r="A712" s="2">
        <v>45276</v>
      </c>
      <c r="B712">
        <v>326</v>
      </c>
      <c r="C712">
        <v>40</v>
      </c>
      <c r="D712">
        <v>54</v>
      </c>
      <c r="E712">
        <v>420</v>
      </c>
      <c r="F712">
        <v>99</v>
      </c>
      <c r="G712">
        <v>25.74</v>
      </c>
      <c r="H712">
        <v>10811.68</v>
      </c>
    </row>
    <row r="713" spans="1:8" x14ac:dyDescent="0.2">
      <c r="A713" s="2">
        <v>45277</v>
      </c>
      <c r="B713">
        <v>186</v>
      </c>
      <c r="C713">
        <v>63</v>
      </c>
      <c r="D713">
        <v>53</v>
      </c>
      <c r="E713">
        <v>302</v>
      </c>
      <c r="F713">
        <v>97</v>
      </c>
      <c r="G713">
        <v>23.55</v>
      </c>
      <c r="H713">
        <v>7111.52</v>
      </c>
    </row>
    <row r="714" spans="1:8" x14ac:dyDescent="0.2">
      <c r="A714" s="2">
        <v>45278</v>
      </c>
      <c r="B714">
        <v>97</v>
      </c>
      <c r="C714">
        <v>39</v>
      </c>
      <c r="D714">
        <v>95</v>
      </c>
      <c r="E714">
        <v>231</v>
      </c>
      <c r="F714">
        <v>82</v>
      </c>
      <c r="G714">
        <v>24.73</v>
      </c>
      <c r="H714">
        <v>5712.64</v>
      </c>
    </row>
    <row r="715" spans="1:8" x14ac:dyDescent="0.2">
      <c r="A715" s="2">
        <v>45279</v>
      </c>
      <c r="B715">
        <v>131</v>
      </c>
      <c r="C715">
        <v>19</v>
      </c>
      <c r="D715">
        <v>103</v>
      </c>
      <c r="E715">
        <v>255</v>
      </c>
      <c r="F715">
        <v>84</v>
      </c>
      <c r="G715">
        <v>22.45</v>
      </c>
      <c r="H715">
        <v>5726.05</v>
      </c>
    </row>
    <row r="716" spans="1:8" x14ac:dyDescent="0.2">
      <c r="A716" s="2">
        <v>45280</v>
      </c>
      <c r="B716">
        <v>123</v>
      </c>
      <c r="C716">
        <v>34</v>
      </c>
      <c r="D716">
        <v>63</v>
      </c>
      <c r="E716">
        <v>220</v>
      </c>
      <c r="F716">
        <v>89</v>
      </c>
      <c r="G716">
        <v>27.41</v>
      </c>
      <c r="H716">
        <v>6029.76</v>
      </c>
    </row>
    <row r="717" spans="1:8" x14ac:dyDescent="0.2">
      <c r="A717" s="2">
        <v>45281</v>
      </c>
      <c r="B717">
        <v>184</v>
      </c>
      <c r="C717">
        <v>26</v>
      </c>
      <c r="D717">
        <v>51</v>
      </c>
      <c r="E717">
        <v>261</v>
      </c>
      <c r="F717">
        <v>85</v>
      </c>
      <c r="G717">
        <v>26.07</v>
      </c>
      <c r="H717">
        <v>6803.89</v>
      </c>
    </row>
    <row r="718" spans="1:8" x14ac:dyDescent="0.2">
      <c r="A718" s="2">
        <v>45282</v>
      </c>
      <c r="B718">
        <v>158</v>
      </c>
      <c r="C718">
        <v>29</v>
      </c>
      <c r="D718">
        <v>71</v>
      </c>
      <c r="E718">
        <v>258</v>
      </c>
      <c r="F718">
        <v>82</v>
      </c>
      <c r="G718">
        <v>26.54</v>
      </c>
      <c r="H718">
        <v>6847.58</v>
      </c>
    </row>
    <row r="719" spans="1:8" x14ac:dyDescent="0.2">
      <c r="A719" s="2">
        <v>45283</v>
      </c>
      <c r="B719">
        <v>205</v>
      </c>
      <c r="C719">
        <v>21</v>
      </c>
      <c r="D719">
        <v>67</v>
      </c>
      <c r="E719">
        <v>296</v>
      </c>
      <c r="F719">
        <v>90</v>
      </c>
      <c r="G719">
        <v>20.71</v>
      </c>
      <c r="H719">
        <v>6130</v>
      </c>
    </row>
    <row r="720" spans="1:8" x14ac:dyDescent="0.2">
      <c r="A720" s="2">
        <v>45284</v>
      </c>
      <c r="B720">
        <v>174</v>
      </c>
      <c r="C720">
        <v>19</v>
      </c>
      <c r="D720">
        <v>53</v>
      </c>
      <c r="E720">
        <v>246</v>
      </c>
      <c r="F720">
        <v>75</v>
      </c>
      <c r="G720">
        <v>28.52</v>
      </c>
      <c r="H720">
        <v>7016.09</v>
      </c>
    </row>
    <row r="721" spans="1:8" x14ac:dyDescent="0.2">
      <c r="A721" s="2">
        <v>45287</v>
      </c>
      <c r="B721">
        <v>80</v>
      </c>
      <c r="C721">
        <v>56</v>
      </c>
      <c r="D721">
        <v>76</v>
      </c>
      <c r="E721">
        <v>212</v>
      </c>
      <c r="F721">
        <v>83</v>
      </c>
      <c r="G721">
        <v>28.94</v>
      </c>
      <c r="H721">
        <v>6136.22</v>
      </c>
    </row>
    <row r="722" spans="1:8" x14ac:dyDescent="0.2">
      <c r="A722" s="2">
        <v>45288</v>
      </c>
      <c r="B722">
        <v>149</v>
      </c>
      <c r="C722">
        <v>59</v>
      </c>
      <c r="D722">
        <v>85</v>
      </c>
      <c r="E722">
        <v>295</v>
      </c>
      <c r="F722">
        <v>87</v>
      </c>
      <c r="G722">
        <v>26.76</v>
      </c>
      <c r="H722">
        <v>7894.07</v>
      </c>
    </row>
    <row r="723" spans="1:8" x14ac:dyDescent="0.2">
      <c r="A723" s="2">
        <v>45289</v>
      </c>
      <c r="B723">
        <v>149</v>
      </c>
      <c r="C723">
        <v>49</v>
      </c>
      <c r="D723">
        <v>82</v>
      </c>
      <c r="E723">
        <v>280</v>
      </c>
      <c r="F723">
        <v>85</v>
      </c>
      <c r="G723">
        <v>27.36</v>
      </c>
      <c r="H723">
        <v>7659.89</v>
      </c>
    </row>
    <row r="724" spans="1:8" x14ac:dyDescent="0.2">
      <c r="A724" s="2">
        <v>45290</v>
      </c>
      <c r="B724">
        <v>162</v>
      </c>
      <c r="C724">
        <v>38</v>
      </c>
      <c r="D724">
        <v>79</v>
      </c>
      <c r="E724">
        <v>279</v>
      </c>
      <c r="F724">
        <v>81</v>
      </c>
      <c r="G724">
        <v>25.85</v>
      </c>
      <c r="H724">
        <v>7211.39</v>
      </c>
    </row>
    <row r="725" spans="1:8" x14ac:dyDescent="0.2">
      <c r="A725" s="2">
        <v>45291</v>
      </c>
      <c r="B725">
        <v>277</v>
      </c>
      <c r="C725">
        <v>43</v>
      </c>
      <c r="D725">
        <v>40</v>
      </c>
      <c r="E725">
        <v>360</v>
      </c>
      <c r="F725">
        <v>93</v>
      </c>
      <c r="G725">
        <v>25.05</v>
      </c>
      <c r="H725">
        <v>9017.2000000000007</v>
      </c>
    </row>
    <row r="726" spans="1:8" x14ac:dyDescent="0.2">
      <c r="A726" s="2">
        <v>45296</v>
      </c>
      <c r="B726">
        <v>2</v>
      </c>
      <c r="C726">
        <v>0</v>
      </c>
      <c r="D726">
        <v>0</v>
      </c>
      <c r="E726">
        <v>2</v>
      </c>
      <c r="F726">
        <v>120</v>
      </c>
      <c r="G726">
        <v>0</v>
      </c>
      <c r="H726">
        <v>0</v>
      </c>
    </row>
    <row r="727" spans="1:8" x14ac:dyDescent="0.2">
      <c r="A727" s="2">
        <v>45302</v>
      </c>
      <c r="B727">
        <v>2</v>
      </c>
      <c r="C727">
        <v>0</v>
      </c>
      <c r="D727">
        <v>0</v>
      </c>
      <c r="E727">
        <v>2</v>
      </c>
      <c r="F727">
        <v>120</v>
      </c>
      <c r="G727">
        <v>0</v>
      </c>
      <c r="H727">
        <v>0</v>
      </c>
    </row>
    <row r="728" spans="1:8" x14ac:dyDescent="0.2">
      <c r="A728" s="2">
        <v>45304</v>
      </c>
      <c r="B728">
        <v>118</v>
      </c>
      <c r="C728">
        <v>41</v>
      </c>
      <c r="D728">
        <v>35</v>
      </c>
      <c r="E728">
        <v>194</v>
      </c>
      <c r="F728">
        <v>90</v>
      </c>
      <c r="G728">
        <v>32.22</v>
      </c>
      <c r="H728">
        <v>6250.58</v>
      </c>
    </row>
    <row r="729" spans="1:8" x14ac:dyDescent="0.2">
      <c r="A729" s="2">
        <v>45305</v>
      </c>
      <c r="B729">
        <v>27</v>
      </c>
      <c r="C729">
        <v>16</v>
      </c>
      <c r="D729">
        <v>54</v>
      </c>
      <c r="E729">
        <v>97</v>
      </c>
      <c r="F729">
        <v>80</v>
      </c>
      <c r="G729">
        <v>21.05</v>
      </c>
      <c r="H729">
        <v>2042.24</v>
      </c>
    </row>
    <row r="730" spans="1:8" x14ac:dyDescent="0.2">
      <c r="A730" s="2">
        <v>45306</v>
      </c>
      <c r="B730">
        <v>43</v>
      </c>
      <c r="C730">
        <v>6</v>
      </c>
      <c r="D730">
        <v>37</v>
      </c>
      <c r="E730">
        <v>86</v>
      </c>
      <c r="F730">
        <v>80</v>
      </c>
      <c r="G730">
        <v>19.2</v>
      </c>
      <c r="H730">
        <v>1650.87</v>
      </c>
    </row>
    <row r="731" spans="1:8" x14ac:dyDescent="0.2">
      <c r="A731" s="2">
        <v>45307</v>
      </c>
      <c r="B731">
        <v>50</v>
      </c>
      <c r="C731">
        <v>17</v>
      </c>
      <c r="D731">
        <v>39</v>
      </c>
      <c r="E731">
        <v>106</v>
      </c>
      <c r="F731">
        <v>87</v>
      </c>
      <c r="G731">
        <v>28.55</v>
      </c>
      <c r="H731">
        <v>3026.42</v>
      </c>
    </row>
    <row r="732" spans="1:8" x14ac:dyDescent="0.2">
      <c r="A732" s="2">
        <v>45308</v>
      </c>
      <c r="B732">
        <v>42</v>
      </c>
      <c r="C732">
        <v>27</v>
      </c>
      <c r="D732">
        <v>36</v>
      </c>
      <c r="E732">
        <v>105</v>
      </c>
      <c r="F732">
        <v>89</v>
      </c>
      <c r="G732">
        <v>21.9</v>
      </c>
      <c r="H732">
        <v>2299.5100000000002</v>
      </c>
    </row>
    <row r="733" spans="1:8" x14ac:dyDescent="0.2">
      <c r="A733" s="2">
        <v>45309</v>
      </c>
      <c r="B733">
        <v>55</v>
      </c>
      <c r="C733">
        <v>26</v>
      </c>
      <c r="D733">
        <v>32</v>
      </c>
      <c r="E733">
        <v>113</v>
      </c>
      <c r="F733">
        <v>85</v>
      </c>
      <c r="G733">
        <v>32.549999999999997</v>
      </c>
      <c r="H733">
        <v>3678.39</v>
      </c>
    </row>
    <row r="734" spans="1:8" x14ac:dyDescent="0.2">
      <c r="A734" s="2">
        <v>45310</v>
      </c>
      <c r="B734">
        <v>97</v>
      </c>
      <c r="C734">
        <v>36</v>
      </c>
      <c r="D734">
        <v>33</v>
      </c>
      <c r="E734">
        <v>166</v>
      </c>
      <c r="F734">
        <v>99</v>
      </c>
      <c r="G734">
        <v>29.47</v>
      </c>
      <c r="H734">
        <v>4891.43</v>
      </c>
    </row>
    <row r="735" spans="1:8" x14ac:dyDescent="0.2">
      <c r="A735" s="2">
        <v>45311</v>
      </c>
      <c r="B735">
        <v>207</v>
      </c>
      <c r="C735">
        <v>44</v>
      </c>
      <c r="D735">
        <v>84</v>
      </c>
      <c r="E735">
        <v>335</v>
      </c>
      <c r="F735">
        <v>92</v>
      </c>
      <c r="G735">
        <v>26.56</v>
      </c>
      <c r="H735">
        <v>8898.5499999999993</v>
      </c>
    </row>
    <row r="736" spans="1:8" x14ac:dyDescent="0.2">
      <c r="A736" s="2">
        <v>45312</v>
      </c>
      <c r="B736">
        <v>57</v>
      </c>
      <c r="C736">
        <v>8</v>
      </c>
      <c r="D736">
        <v>31</v>
      </c>
      <c r="E736">
        <v>96</v>
      </c>
      <c r="F736">
        <v>91</v>
      </c>
      <c r="G736">
        <v>23.29</v>
      </c>
      <c r="H736">
        <v>2235.9299999999998</v>
      </c>
    </row>
    <row r="737" spans="1:8" x14ac:dyDescent="0.2">
      <c r="A737" s="2">
        <v>45313</v>
      </c>
      <c r="B737">
        <v>40</v>
      </c>
      <c r="C737">
        <v>19</v>
      </c>
      <c r="D737">
        <v>55</v>
      </c>
      <c r="E737">
        <v>114</v>
      </c>
      <c r="F737">
        <v>84</v>
      </c>
      <c r="G737">
        <v>23.9</v>
      </c>
      <c r="H737">
        <v>2724.86</v>
      </c>
    </row>
    <row r="738" spans="1:8" x14ac:dyDescent="0.2">
      <c r="A738" s="2">
        <v>45314</v>
      </c>
      <c r="B738">
        <v>28</v>
      </c>
      <c r="C738">
        <v>9</v>
      </c>
      <c r="D738">
        <v>60</v>
      </c>
      <c r="E738">
        <v>99</v>
      </c>
      <c r="F738">
        <v>91</v>
      </c>
      <c r="G738">
        <v>17.32</v>
      </c>
      <c r="H738">
        <v>1714.73</v>
      </c>
    </row>
    <row r="739" spans="1:8" x14ac:dyDescent="0.2">
      <c r="A739" s="2">
        <v>45315</v>
      </c>
      <c r="B739">
        <v>32</v>
      </c>
      <c r="C739">
        <v>8</v>
      </c>
      <c r="D739">
        <v>44</v>
      </c>
      <c r="E739">
        <v>84</v>
      </c>
      <c r="F739">
        <v>88</v>
      </c>
      <c r="G739">
        <v>26.3</v>
      </c>
      <c r="H739">
        <v>2209.0700000000002</v>
      </c>
    </row>
    <row r="740" spans="1:8" x14ac:dyDescent="0.2">
      <c r="A740" s="2">
        <v>45316</v>
      </c>
      <c r="B740">
        <v>68</v>
      </c>
      <c r="C740">
        <v>7</v>
      </c>
      <c r="D740">
        <v>40</v>
      </c>
      <c r="E740">
        <v>115</v>
      </c>
      <c r="F740">
        <v>93</v>
      </c>
      <c r="G740">
        <v>22.64</v>
      </c>
      <c r="H740">
        <v>2603.2800000000002</v>
      </c>
    </row>
    <row r="741" spans="1:8" x14ac:dyDescent="0.2">
      <c r="A741" s="2">
        <v>45317</v>
      </c>
      <c r="B741">
        <v>99</v>
      </c>
      <c r="C741">
        <v>30</v>
      </c>
      <c r="D741">
        <v>69</v>
      </c>
      <c r="E741">
        <v>198</v>
      </c>
      <c r="F741">
        <v>86</v>
      </c>
      <c r="G741">
        <v>28.96</v>
      </c>
      <c r="H741">
        <v>5733.15</v>
      </c>
    </row>
    <row r="742" spans="1:8" x14ac:dyDescent="0.2">
      <c r="A742" s="2">
        <v>45318</v>
      </c>
      <c r="B742">
        <v>242</v>
      </c>
      <c r="C742">
        <v>40</v>
      </c>
      <c r="D742">
        <v>92</v>
      </c>
      <c r="E742">
        <v>374</v>
      </c>
      <c r="F742">
        <v>88</v>
      </c>
      <c r="G742">
        <v>29.52</v>
      </c>
      <c r="H742">
        <v>11040.37</v>
      </c>
    </row>
    <row r="743" spans="1:8" x14ac:dyDescent="0.2">
      <c r="A743" s="2">
        <v>45319</v>
      </c>
      <c r="B743">
        <v>78</v>
      </c>
      <c r="C743">
        <v>23</v>
      </c>
      <c r="D743">
        <v>91</v>
      </c>
      <c r="E743">
        <v>192</v>
      </c>
      <c r="F743">
        <v>78</v>
      </c>
      <c r="G743">
        <v>16.87</v>
      </c>
      <c r="H743">
        <v>3239.13</v>
      </c>
    </row>
    <row r="744" spans="1:8" x14ac:dyDescent="0.2">
      <c r="A744" s="2">
        <v>45320</v>
      </c>
      <c r="B744">
        <v>31</v>
      </c>
      <c r="C744">
        <v>19</v>
      </c>
      <c r="D744">
        <v>26</v>
      </c>
      <c r="E744">
        <v>76</v>
      </c>
      <c r="F744">
        <v>92</v>
      </c>
      <c r="G744">
        <v>22.56</v>
      </c>
      <c r="H744">
        <v>1714.64</v>
      </c>
    </row>
    <row r="745" spans="1:8" x14ac:dyDescent="0.2">
      <c r="A745" s="2">
        <v>45321</v>
      </c>
      <c r="B745">
        <v>44</v>
      </c>
      <c r="C745">
        <v>12</v>
      </c>
      <c r="D745">
        <v>52</v>
      </c>
      <c r="E745">
        <v>108</v>
      </c>
      <c r="F745">
        <v>91</v>
      </c>
      <c r="G745">
        <v>22.06</v>
      </c>
      <c r="H745">
        <v>2382.08</v>
      </c>
    </row>
    <row r="746" spans="1:8" x14ac:dyDescent="0.2">
      <c r="A746" s="2">
        <v>45322</v>
      </c>
      <c r="B746">
        <v>36</v>
      </c>
      <c r="C746">
        <v>12</v>
      </c>
      <c r="D746">
        <v>47</v>
      </c>
      <c r="E746">
        <v>95</v>
      </c>
      <c r="F746">
        <v>83</v>
      </c>
      <c r="G746">
        <v>29.33</v>
      </c>
      <c r="H746">
        <v>2786.02</v>
      </c>
    </row>
    <row r="747" spans="1:8" x14ac:dyDescent="0.2">
      <c r="A747" s="2">
        <v>45323</v>
      </c>
      <c r="B747">
        <v>60</v>
      </c>
      <c r="C747">
        <v>26</v>
      </c>
      <c r="D747">
        <v>58</v>
      </c>
      <c r="E747">
        <v>144</v>
      </c>
      <c r="F747">
        <v>80</v>
      </c>
      <c r="G747">
        <v>21.44</v>
      </c>
      <c r="H747">
        <v>3087.47</v>
      </c>
    </row>
    <row r="748" spans="1:8" x14ac:dyDescent="0.2">
      <c r="A748" s="2">
        <v>45324</v>
      </c>
      <c r="B748">
        <v>142</v>
      </c>
      <c r="C748">
        <v>28</v>
      </c>
      <c r="D748">
        <v>37</v>
      </c>
      <c r="E748">
        <v>208</v>
      </c>
      <c r="F748">
        <v>90</v>
      </c>
      <c r="G748">
        <v>30.41</v>
      </c>
      <c r="H748">
        <v>6325.12</v>
      </c>
    </row>
    <row r="749" spans="1:8" x14ac:dyDescent="0.2">
      <c r="A749" s="2">
        <v>45325</v>
      </c>
      <c r="B749">
        <v>285</v>
      </c>
      <c r="C749">
        <v>44</v>
      </c>
      <c r="D749">
        <v>72</v>
      </c>
      <c r="E749">
        <v>403</v>
      </c>
      <c r="F749">
        <v>95</v>
      </c>
      <c r="G749">
        <v>28.7</v>
      </c>
      <c r="H749">
        <v>11565.23</v>
      </c>
    </row>
    <row r="750" spans="1:8" x14ac:dyDescent="0.2">
      <c r="A750" s="2">
        <v>45326</v>
      </c>
      <c r="B750">
        <v>70</v>
      </c>
      <c r="C750">
        <v>6</v>
      </c>
      <c r="D750">
        <v>57</v>
      </c>
      <c r="E750">
        <v>133</v>
      </c>
      <c r="F750">
        <v>87</v>
      </c>
      <c r="G750">
        <v>24.24</v>
      </c>
      <c r="H750">
        <v>3223.64</v>
      </c>
    </row>
    <row r="751" spans="1:8" x14ac:dyDescent="0.2">
      <c r="A751" s="2">
        <v>45327</v>
      </c>
      <c r="B751">
        <v>27</v>
      </c>
      <c r="C751">
        <v>18</v>
      </c>
      <c r="D751">
        <v>40</v>
      </c>
      <c r="E751">
        <v>85</v>
      </c>
      <c r="F751">
        <v>85</v>
      </c>
      <c r="G751">
        <v>22.6</v>
      </c>
      <c r="H751">
        <v>1920.85</v>
      </c>
    </row>
    <row r="752" spans="1:8" x14ac:dyDescent="0.2">
      <c r="A752" s="2">
        <v>45328</v>
      </c>
      <c r="B752">
        <v>62</v>
      </c>
      <c r="C752">
        <v>27</v>
      </c>
      <c r="D752">
        <v>40</v>
      </c>
      <c r="E752">
        <v>129</v>
      </c>
      <c r="F752">
        <v>91</v>
      </c>
      <c r="G752">
        <v>28.28</v>
      </c>
      <c r="H752">
        <v>3647.73</v>
      </c>
    </row>
    <row r="753" spans="1:8" x14ac:dyDescent="0.2">
      <c r="A753" s="2">
        <v>45329</v>
      </c>
      <c r="B753">
        <v>64</v>
      </c>
      <c r="C753">
        <v>17</v>
      </c>
      <c r="D753">
        <v>77</v>
      </c>
      <c r="E753">
        <v>158</v>
      </c>
      <c r="F753">
        <v>87</v>
      </c>
      <c r="G753">
        <v>23.89</v>
      </c>
      <c r="H753">
        <v>3774.12</v>
      </c>
    </row>
    <row r="754" spans="1:8" x14ac:dyDescent="0.2">
      <c r="A754" s="2">
        <v>45330</v>
      </c>
      <c r="B754">
        <v>54</v>
      </c>
      <c r="C754">
        <v>22</v>
      </c>
      <c r="D754">
        <v>44</v>
      </c>
      <c r="E754">
        <v>120</v>
      </c>
      <c r="F754">
        <v>97</v>
      </c>
      <c r="G754">
        <v>30.32</v>
      </c>
      <c r="H754">
        <v>3638.85</v>
      </c>
    </row>
    <row r="755" spans="1:8" x14ac:dyDescent="0.2">
      <c r="A755" s="2">
        <v>45331</v>
      </c>
      <c r="B755">
        <v>72</v>
      </c>
      <c r="C755">
        <v>28</v>
      </c>
      <c r="D755">
        <v>65</v>
      </c>
      <c r="E755">
        <v>165</v>
      </c>
      <c r="F755">
        <v>87</v>
      </c>
      <c r="G755">
        <v>28.51</v>
      </c>
      <c r="H755">
        <v>4704.99</v>
      </c>
    </row>
    <row r="756" spans="1:8" x14ac:dyDescent="0.2">
      <c r="A756" s="2">
        <v>45332</v>
      </c>
      <c r="B756">
        <v>323</v>
      </c>
      <c r="C756">
        <v>39</v>
      </c>
      <c r="D756">
        <v>71</v>
      </c>
      <c r="E756">
        <v>433</v>
      </c>
      <c r="F756">
        <v>95</v>
      </c>
      <c r="G756">
        <v>27.9</v>
      </c>
      <c r="H756">
        <v>12079.27</v>
      </c>
    </row>
    <row r="757" spans="1:8" x14ac:dyDescent="0.2">
      <c r="A757" s="2">
        <v>45333</v>
      </c>
      <c r="B757">
        <v>108</v>
      </c>
      <c r="C757">
        <v>60</v>
      </c>
      <c r="D757">
        <v>87</v>
      </c>
      <c r="E757">
        <v>255</v>
      </c>
      <c r="F757">
        <v>82</v>
      </c>
      <c r="G757">
        <v>25</v>
      </c>
      <c r="H757">
        <v>6374.13</v>
      </c>
    </row>
    <row r="758" spans="1:8" x14ac:dyDescent="0.2">
      <c r="A758" s="2">
        <v>45334</v>
      </c>
      <c r="B758">
        <v>88</v>
      </c>
      <c r="C758">
        <v>49</v>
      </c>
      <c r="D758">
        <v>71</v>
      </c>
      <c r="E758">
        <v>208</v>
      </c>
      <c r="F758">
        <v>91</v>
      </c>
      <c r="G758">
        <v>30.24</v>
      </c>
      <c r="H758">
        <v>6290.27</v>
      </c>
    </row>
    <row r="759" spans="1:8" x14ac:dyDescent="0.2">
      <c r="A759" s="2">
        <v>45335</v>
      </c>
      <c r="B759">
        <v>92</v>
      </c>
      <c r="C759">
        <v>29</v>
      </c>
      <c r="D759">
        <v>59</v>
      </c>
      <c r="E759">
        <v>180</v>
      </c>
      <c r="F759">
        <v>84</v>
      </c>
      <c r="G759">
        <v>24.86</v>
      </c>
      <c r="H759">
        <v>4475.3500000000004</v>
      </c>
    </row>
    <row r="760" spans="1:8" x14ac:dyDescent="0.2">
      <c r="A760" s="2">
        <v>45336</v>
      </c>
      <c r="B760">
        <v>179</v>
      </c>
      <c r="C760">
        <v>44</v>
      </c>
      <c r="D760">
        <v>68</v>
      </c>
      <c r="E760">
        <v>291</v>
      </c>
      <c r="F760">
        <v>86</v>
      </c>
      <c r="G760">
        <v>29.08</v>
      </c>
      <c r="H760">
        <v>8463.2999999999993</v>
      </c>
    </row>
    <row r="761" spans="1:8" x14ac:dyDescent="0.2">
      <c r="A761" s="2">
        <v>45337</v>
      </c>
      <c r="B761">
        <v>78</v>
      </c>
      <c r="C761">
        <v>46</v>
      </c>
      <c r="D761">
        <v>106</v>
      </c>
      <c r="E761">
        <v>230</v>
      </c>
      <c r="F761">
        <v>84</v>
      </c>
      <c r="G761">
        <v>26.6</v>
      </c>
      <c r="H761">
        <v>6119.14</v>
      </c>
    </row>
    <row r="762" spans="1:8" x14ac:dyDescent="0.2">
      <c r="A762" s="2">
        <v>45338</v>
      </c>
      <c r="B762">
        <v>180</v>
      </c>
      <c r="C762">
        <v>19</v>
      </c>
      <c r="D762">
        <v>77</v>
      </c>
      <c r="E762">
        <v>276</v>
      </c>
      <c r="F762">
        <v>85</v>
      </c>
      <c r="G762">
        <v>29.7</v>
      </c>
      <c r="H762">
        <v>8198.17</v>
      </c>
    </row>
    <row r="763" spans="1:8" x14ac:dyDescent="0.2">
      <c r="A763" s="2">
        <v>45339</v>
      </c>
      <c r="B763">
        <v>280</v>
      </c>
      <c r="C763">
        <v>59</v>
      </c>
      <c r="D763">
        <v>82</v>
      </c>
      <c r="E763">
        <v>423</v>
      </c>
      <c r="F763">
        <v>90</v>
      </c>
      <c r="G763">
        <v>28.18</v>
      </c>
      <c r="H763">
        <v>11921.83</v>
      </c>
    </row>
    <row r="764" spans="1:8" x14ac:dyDescent="0.2">
      <c r="A764" s="2">
        <v>45340</v>
      </c>
      <c r="B764">
        <v>64</v>
      </c>
      <c r="C764">
        <v>40</v>
      </c>
      <c r="D764">
        <v>95</v>
      </c>
      <c r="E764">
        <v>199</v>
      </c>
      <c r="F764">
        <v>83</v>
      </c>
      <c r="G764">
        <v>30.05</v>
      </c>
      <c r="H764">
        <v>5980.86</v>
      </c>
    </row>
    <row r="765" spans="1:8" x14ac:dyDescent="0.2">
      <c r="A765" s="2">
        <v>45341</v>
      </c>
      <c r="B765">
        <v>38</v>
      </c>
      <c r="C765">
        <v>15</v>
      </c>
      <c r="D765">
        <v>61</v>
      </c>
      <c r="E765">
        <v>114</v>
      </c>
      <c r="F765">
        <v>84</v>
      </c>
      <c r="G765">
        <v>25.52</v>
      </c>
      <c r="H765">
        <v>2909.41</v>
      </c>
    </row>
    <row r="766" spans="1:8" x14ac:dyDescent="0.2">
      <c r="A766" s="2">
        <v>45342</v>
      </c>
      <c r="B766">
        <v>43</v>
      </c>
      <c r="C766">
        <v>20</v>
      </c>
      <c r="D766">
        <v>68</v>
      </c>
      <c r="E766">
        <v>131</v>
      </c>
      <c r="F766">
        <v>75</v>
      </c>
      <c r="G766">
        <v>30.46</v>
      </c>
      <c r="H766">
        <v>3989.66</v>
      </c>
    </row>
    <row r="767" spans="1:8" x14ac:dyDescent="0.2">
      <c r="A767" s="2">
        <v>45343</v>
      </c>
      <c r="B767">
        <v>73</v>
      </c>
      <c r="C767">
        <v>33</v>
      </c>
      <c r="D767">
        <v>68</v>
      </c>
      <c r="E767">
        <v>174</v>
      </c>
      <c r="F767">
        <v>86</v>
      </c>
      <c r="G767">
        <v>23.98</v>
      </c>
      <c r="H767">
        <v>4172.1499999999996</v>
      </c>
    </row>
    <row r="768" spans="1:8" x14ac:dyDescent="0.2">
      <c r="A768" s="2">
        <v>45344</v>
      </c>
      <c r="B768">
        <v>28</v>
      </c>
      <c r="C768">
        <v>22</v>
      </c>
      <c r="D768">
        <v>76</v>
      </c>
      <c r="E768">
        <v>126</v>
      </c>
      <c r="F768">
        <v>86</v>
      </c>
      <c r="G768">
        <v>28.86</v>
      </c>
      <c r="H768">
        <v>3636.85</v>
      </c>
    </row>
    <row r="769" spans="1:8" x14ac:dyDescent="0.2">
      <c r="A769" s="2">
        <v>45345</v>
      </c>
      <c r="B769">
        <v>166</v>
      </c>
      <c r="C769">
        <v>46</v>
      </c>
      <c r="D769">
        <v>52</v>
      </c>
      <c r="E769">
        <v>264</v>
      </c>
      <c r="F769">
        <v>98</v>
      </c>
      <c r="G769">
        <v>32.020000000000003</v>
      </c>
      <c r="H769">
        <v>8453.85</v>
      </c>
    </row>
    <row r="770" spans="1:8" x14ac:dyDescent="0.2">
      <c r="A770" s="2">
        <v>45346</v>
      </c>
      <c r="B770">
        <v>259</v>
      </c>
      <c r="C770">
        <v>61</v>
      </c>
      <c r="D770">
        <v>95</v>
      </c>
      <c r="E770">
        <v>415</v>
      </c>
      <c r="F770">
        <v>91</v>
      </c>
      <c r="G770">
        <v>28.33</v>
      </c>
      <c r="H770">
        <v>11756.37</v>
      </c>
    </row>
    <row r="771" spans="1:8" x14ac:dyDescent="0.2">
      <c r="A771" s="2">
        <v>45347</v>
      </c>
      <c r="B771">
        <v>74</v>
      </c>
      <c r="C771">
        <v>12</v>
      </c>
      <c r="D771">
        <v>54</v>
      </c>
      <c r="E771">
        <v>140</v>
      </c>
      <c r="F771">
        <v>85</v>
      </c>
      <c r="G771">
        <v>26.41</v>
      </c>
      <c r="H771">
        <v>3696.79</v>
      </c>
    </row>
    <row r="772" spans="1:8" x14ac:dyDescent="0.2">
      <c r="A772" s="2">
        <v>45348</v>
      </c>
      <c r="B772">
        <v>31</v>
      </c>
      <c r="C772">
        <v>9</v>
      </c>
      <c r="D772">
        <v>69</v>
      </c>
      <c r="E772">
        <v>109</v>
      </c>
      <c r="F772">
        <v>90</v>
      </c>
      <c r="G772">
        <v>30.81</v>
      </c>
      <c r="H772">
        <v>3358.41</v>
      </c>
    </row>
    <row r="773" spans="1:8" x14ac:dyDescent="0.2">
      <c r="A773" s="2">
        <v>45349</v>
      </c>
      <c r="B773">
        <v>68</v>
      </c>
      <c r="C773">
        <v>11</v>
      </c>
      <c r="D773">
        <v>40</v>
      </c>
      <c r="E773">
        <v>119</v>
      </c>
      <c r="F773">
        <v>92</v>
      </c>
      <c r="G773">
        <v>21.33</v>
      </c>
      <c r="H773">
        <v>2538.75</v>
      </c>
    </row>
    <row r="774" spans="1:8" x14ac:dyDescent="0.2">
      <c r="A774" s="2">
        <v>45350</v>
      </c>
      <c r="B774">
        <v>31</v>
      </c>
      <c r="C774">
        <v>14</v>
      </c>
      <c r="D774">
        <v>47</v>
      </c>
      <c r="E774">
        <v>92</v>
      </c>
      <c r="F774">
        <v>84</v>
      </c>
      <c r="G774">
        <v>27.86</v>
      </c>
      <c r="H774">
        <v>2562.89</v>
      </c>
    </row>
    <row r="775" spans="1:8" x14ac:dyDescent="0.2">
      <c r="A775" s="2">
        <v>45351</v>
      </c>
      <c r="B775">
        <v>50</v>
      </c>
      <c r="C775">
        <v>15</v>
      </c>
      <c r="D775">
        <v>40</v>
      </c>
      <c r="E775">
        <v>105</v>
      </c>
      <c r="F775">
        <v>82</v>
      </c>
      <c r="G775">
        <v>30.79</v>
      </c>
      <c r="H775">
        <v>3233.32</v>
      </c>
    </row>
    <row r="776" spans="1:8" x14ac:dyDescent="0.2">
      <c r="A776" s="2">
        <v>45352</v>
      </c>
      <c r="B776">
        <v>131</v>
      </c>
      <c r="C776">
        <v>24</v>
      </c>
      <c r="D776">
        <v>39</v>
      </c>
      <c r="E776">
        <v>194</v>
      </c>
      <c r="F776">
        <v>97</v>
      </c>
      <c r="G776">
        <v>24.8</v>
      </c>
      <c r="H776">
        <v>4811.3900000000003</v>
      </c>
    </row>
    <row r="777" spans="1:8" x14ac:dyDescent="0.2">
      <c r="A777" s="2">
        <v>45353</v>
      </c>
      <c r="B777">
        <v>299</v>
      </c>
      <c r="C777">
        <v>47</v>
      </c>
      <c r="D777">
        <v>45</v>
      </c>
      <c r="E777">
        <v>391</v>
      </c>
      <c r="F777">
        <v>93</v>
      </c>
      <c r="G777">
        <v>25</v>
      </c>
      <c r="H777">
        <v>9775.75</v>
      </c>
    </row>
    <row r="778" spans="1:8" x14ac:dyDescent="0.2">
      <c r="A778" s="2">
        <v>45354</v>
      </c>
      <c r="B778">
        <v>58</v>
      </c>
      <c r="C778">
        <v>38</v>
      </c>
      <c r="D778">
        <v>69</v>
      </c>
      <c r="E778">
        <v>165</v>
      </c>
      <c r="F778">
        <v>78</v>
      </c>
      <c r="G778">
        <v>25.73</v>
      </c>
      <c r="H778">
        <v>4245.91</v>
      </c>
    </row>
    <row r="779" spans="1:8" x14ac:dyDescent="0.2">
      <c r="A779" s="2">
        <v>45355</v>
      </c>
      <c r="B779">
        <v>45</v>
      </c>
      <c r="C779">
        <v>14</v>
      </c>
      <c r="D779">
        <v>39</v>
      </c>
      <c r="E779">
        <v>98</v>
      </c>
      <c r="F779">
        <v>97</v>
      </c>
      <c r="G779">
        <v>17.22</v>
      </c>
      <c r="H779">
        <v>1687.11</v>
      </c>
    </row>
    <row r="780" spans="1:8" x14ac:dyDescent="0.2">
      <c r="A780" s="2">
        <v>45356</v>
      </c>
      <c r="B780">
        <v>60</v>
      </c>
      <c r="C780">
        <v>10</v>
      </c>
      <c r="D780">
        <v>47</v>
      </c>
      <c r="E780">
        <v>118</v>
      </c>
      <c r="F780">
        <v>82</v>
      </c>
      <c r="G780">
        <v>29.99</v>
      </c>
      <c r="H780">
        <v>3538.78</v>
      </c>
    </row>
    <row r="781" spans="1:8" x14ac:dyDescent="0.2">
      <c r="A781" s="2">
        <v>45357</v>
      </c>
      <c r="B781">
        <v>39</v>
      </c>
      <c r="C781">
        <v>23</v>
      </c>
      <c r="D781">
        <v>43</v>
      </c>
      <c r="E781">
        <v>105</v>
      </c>
      <c r="F781">
        <v>79</v>
      </c>
      <c r="G781">
        <v>23.54</v>
      </c>
      <c r="H781">
        <v>2471.91</v>
      </c>
    </row>
    <row r="782" spans="1:8" x14ac:dyDescent="0.2">
      <c r="A782" s="2">
        <v>45358</v>
      </c>
      <c r="B782">
        <v>45</v>
      </c>
      <c r="C782">
        <v>26</v>
      </c>
      <c r="D782">
        <v>36</v>
      </c>
      <c r="E782">
        <v>107</v>
      </c>
      <c r="F782">
        <v>80</v>
      </c>
      <c r="G782">
        <v>27.84</v>
      </c>
      <c r="H782">
        <v>2978.76</v>
      </c>
    </row>
    <row r="783" spans="1:8" x14ac:dyDescent="0.2">
      <c r="A783" s="2">
        <v>45359</v>
      </c>
      <c r="B783">
        <v>119</v>
      </c>
      <c r="C783">
        <v>21</v>
      </c>
      <c r="D783">
        <v>52</v>
      </c>
      <c r="E783">
        <v>192</v>
      </c>
      <c r="F783">
        <v>96</v>
      </c>
      <c r="G783">
        <v>31.28</v>
      </c>
      <c r="H783">
        <v>6005.21</v>
      </c>
    </row>
    <row r="784" spans="1:8" x14ac:dyDescent="0.2">
      <c r="A784" s="2">
        <v>45360</v>
      </c>
      <c r="B784">
        <v>279</v>
      </c>
      <c r="C784">
        <v>37</v>
      </c>
      <c r="D784">
        <v>66</v>
      </c>
      <c r="E784">
        <v>382</v>
      </c>
      <c r="F784">
        <v>100</v>
      </c>
      <c r="G784">
        <v>27.24</v>
      </c>
      <c r="H784">
        <v>10404.33</v>
      </c>
    </row>
    <row r="785" spans="1:8" x14ac:dyDescent="0.2">
      <c r="A785" s="2">
        <v>45361</v>
      </c>
      <c r="B785">
        <v>261</v>
      </c>
      <c r="C785">
        <v>12</v>
      </c>
      <c r="D785">
        <v>48</v>
      </c>
      <c r="E785">
        <v>321</v>
      </c>
      <c r="F785">
        <v>91</v>
      </c>
      <c r="G785">
        <v>26.46</v>
      </c>
      <c r="H785">
        <v>8494.5</v>
      </c>
    </row>
    <row r="786" spans="1:8" x14ac:dyDescent="0.2">
      <c r="A786" s="2">
        <v>45362</v>
      </c>
      <c r="B786">
        <v>48</v>
      </c>
      <c r="C786">
        <v>26</v>
      </c>
      <c r="D786">
        <v>39</v>
      </c>
      <c r="E786">
        <v>114</v>
      </c>
      <c r="F786">
        <v>78</v>
      </c>
      <c r="G786">
        <v>25.47</v>
      </c>
      <c r="H786">
        <v>2903.75</v>
      </c>
    </row>
    <row r="787" spans="1:8" x14ac:dyDescent="0.2">
      <c r="A787" s="2">
        <v>45363</v>
      </c>
      <c r="B787">
        <v>68</v>
      </c>
      <c r="C787">
        <v>36</v>
      </c>
      <c r="D787">
        <v>39</v>
      </c>
      <c r="E787">
        <v>143</v>
      </c>
      <c r="F787">
        <v>84</v>
      </c>
      <c r="G787">
        <v>19.71</v>
      </c>
      <c r="H787">
        <v>2818.68</v>
      </c>
    </row>
    <row r="788" spans="1:8" x14ac:dyDescent="0.2">
      <c r="A788" s="2">
        <v>45364</v>
      </c>
      <c r="B788">
        <v>107</v>
      </c>
      <c r="C788">
        <v>9</v>
      </c>
      <c r="D788">
        <v>49</v>
      </c>
      <c r="E788">
        <v>165</v>
      </c>
      <c r="F788">
        <v>83</v>
      </c>
      <c r="G788">
        <v>21.7</v>
      </c>
      <c r="H788">
        <v>3581.15</v>
      </c>
    </row>
    <row r="789" spans="1:8" x14ac:dyDescent="0.2">
      <c r="A789" s="2">
        <v>45365</v>
      </c>
      <c r="B789">
        <v>105</v>
      </c>
      <c r="C789">
        <v>41</v>
      </c>
      <c r="D789">
        <v>37</v>
      </c>
      <c r="E789">
        <v>183</v>
      </c>
      <c r="F789">
        <v>88</v>
      </c>
      <c r="G789">
        <v>21.75</v>
      </c>
      <c r="H789">
        <v>3979.63</v>
      </c>
    </row>
    <row r="790" spans="1:8" x14ac:dyDescent="0.2">
      <c r="A790" s="2">
        <v>45366</v>
      </c>
      <c r="B790">
        <v>162</v>
      </c>
      <c r="C790">
        <v>32</v>
      </c>
      <c r="D790">
        <v>55</v>
      </c>
      <c r="E790">
        <v>249</v>
      </c>
      <c r="F790">
        <v>81</v>
      </c>
      <c r="G790">
        <v>28.52</v>
      </c>
      <c r="H790">
        <v>7101.45</v>
      </c>
    </row>
    <row r="791" spans="1:8" x14ac:dyDescent="0.2">
      <c r="A791" s="2">
        <v>45367</v>
      </c>
      <c r="B791">
        <v>269</v>
      </c>
      <c r="C791">
        <v>38</v>
      </c>
      <c r="D791">
        <v>83</v>
      </c>
      <c r="E791">
        <v>390</v>
      </c>
      <c r="F791">
        <v>87</v>
      </c>
      <c r="G791">
        <v>28.77</v>
      </c>
      <c r="H791">
        <v>11222.16</v>
      </c>
    </row>
    <row r="792" spans="1:8" x14ac:dyDescent="0.2">
      <c r="A792" s="2">
        <v>45368</v>
      </c>
      <c r="B792">
        <v>99</v>
      </c>
      <c r="C792">
        <v>17</v>
      </c>
      <c r="D792">
        <v>68</v>
      </c>
      <c r="E792">
        <v>184</v>
      </c>
      <c r="F792">
        <v>84</v>
      </c>
      <c r="G792">
        <v>25.89</v>
      </c>
      <c r="H792">
        <v>4763.58</v>
      </c>
    </row>
    <row r="793" spans="1:8" x14ac:dyDescent="0.2">
      <c r="A793" s="2">
        <v>45369</v>
      </c>
      <c r="B793">
        <v>66</v>
      </c>
      <c r="C793">
        <v>21</v>
      </c>
      <c r="D793">
        <v>42</v>
      </c>
      <c r="E793">
        <v>129</v>
      </c>
      <c r="F793">
        <v>83</v>
      </c>
      <c r="G793">
        <v>21.64</v>
      </c>
      <c r="H793">
        <v>2791.53</v>
      </c>
    </row>
    <row r="794" spans="1:8" x14ac:dyDescent="0.2">
      <c r="A794" s="2">
        <v>45370</v>
      </c>
      <c r="B794">
        <v>73</v>
      </c>
      <c r="C794">
        <v>14</v>
      </c>
      <c r="D794">
        <v>49</v>
      </c>
      <c r="E794">
        <v>136</v>
      </c>
      <c r="F794">
        <v>84</v>
      </c>
      <c r="G794">
        <v>29.16</v>
      </c>
      <c r="H794">
        <v>3965.12</v>
      </c>
    </row>
    <row r="795" spans="1:8" x14ac:dyDescent="0.2">
      <c r="A795" s="2">
        <v>45371</v>
      </c>
      <c r="B795">
        <v>82</v>
      </c>
      <c r="C795">
        <v>22</v>
      </c>
      <c r="D795">
        <v>69</v>
      </c>
      <c r="E795">
        <v>173</v>
      </c>
      <c r="F795">
        <v>90</v>
      </c>
      <c r="G795">
        <v>27.34</v>
      </c>
      <c r="H795">
        <v>4729.67</v>
      </c>
    </row>
    <row r="796" spans="1:8" x14ac:dyDescent="0.2">
      <c r="A796" s="2">
        <v>45372</v>
      </c>
      <c r="B796">
        <v>79</v>
      </c>
      <c r="C796">
        <v>20</v>
      </c>
      <c r="D796">
        <v>49</v>
      </c>
      <c r="E796">
        <v>148</v>
      </c>
      <c r="F796">
        <v>83</v>
      </c>
      <c r="G796">
        <v>29.62</v>
      </c>
      <c r="H796">
        <v>4384.37</v>
      </c>
    </row>
    <row r="797" spans="1:8" x14ac:dyDescent="0.2">
      <c r="A797" s="2">
        <v>45373</v>
      </c>
      <c r="B797">
        <v>118</v>
      </c>
      <c r="C797">
        <v>40</v>
      </c>
      <c r="D797">
        <v>55</v>
      </c>
      <c r="E797">
        <v>213</v>
      </c>
      <c r="F797">
        <v>87</v>
      </c>
      <c r="G797">
        <v>26.1</v>
      </c>
      <c r="H797">
        <v>5560.28</v>
      </c>
    </row>
    <row r="798" spans="1:8" x14ac:dyDescent="0.2">
      <c r="A798" s="2">
        <v>45374</v>
      </c>
      <c r="B798">
        <v>217</v>
      </c>
      <c r="C798">
        <v>51</v>
      </c>
      <c r="D798">
        <v>96</v>
      </c>
      <c r="E798">
        <v>364</v>
      </c>
      <c r="F798">
        <v>89</v>
      </c>
      <c r="G798">
        <v>32.770000000000003</v>
      </c>
      <c r="H798">
        <v>11929.67</v>
      </c>
    </row>
    <row r="799" spans="1:8" x14ac:dyDescent="0.2">
      <c r="A799" s="2">
        <v>45375</v>
      </c>
      <c r="B799">
        <v>68</v>
      </c>
      <c r="C799">
        <v>54</v>
      </c>
      <c r="D799">
        <v>65</v>
      </c>
      <c r="E799">
        <v>187</v>
      </c>
      <c r="F799">
        <v>81</v>
      </c>
      <c r="G799">
        <v>24.23</v>
      </c>
      <c r="H799">
        <v>4531.13</v>
      </c>
    </row>
    <row r="800" spans="1:8" x14ac:dyDescent="0.2">
      <c r="A800" s="2">
        <v>45376</v>
      </c>
      <c r="B800">
        <v>29</v>
      </c>
      <c r="C800">
        <v>13</v>
      </c>
      <c r="D800">
        <v>60</v>
      </c>
      <c r="E800">
        <v>102</v>
      </c>
      <c r="F800">
        <v>82</v>
      </c>
      <c r="G800">
        <v>30.05</v>
      </c>
      <c r="H800">
        <v>3065.37</v>
      </c>
    </row>
    <row r="801" spans="1:8" x14ac:dyDescent="0.2">
      <c r="A801" s="2">
        <v>45377</v>
      </c>
      <c r="B801">
        <v>62</v>
      </c>
      <c r="C801">
        <v>30</v>
      </c>
      <c r="D801">
        <v>94</v>
      </c>
      <c r="E801">
        <v>186</v>
      </c>
      <c r="F801">
        <v>81</v>
      </c>
      <c r="G801">
        <v>29.57</v>
      </c>
      <c r="H801">
        <v>5499.64</v>
      </c>
    </row>
    <row r="802" spans="1:8" x14ac:dyDescent="0.2">
      <c r="A802" s="2">
        <v>45378</v>
      </c>
      <c r="B802">
        <v>64</v>
      </c>
      <c r="C802">
        <v>48</v>
      </c>
      <c r="D802">
        <v>49</v>
      </c>
      <c r="E802">
        <v>161</v>
      </c>
      <c r="F802">
        <v>80</v>
      </c>
      <c r="G802">
        <v>31.85</v>
      </c>
      <c r="H802">
        <v>5127.4399999999996</v>
      </c>
    </row>
    <row r="803" spans="1:8" x14ac:dyDescent="0.2">
      <c r="A803" s="2">
        <v>45379</v>
      </c>
      <c r="B803">
        <v>56</v>
      </c>
      <c r="C803">
        <v>50</v>
      </c>
      <c r="D803">
        <v>66</v>
      </c>
      <c r="E803">
        <v>172</v>
      </c>
      <c r="F803">
        <v>83</v>
      </c>
      <c r="G803">
        <v>26.56</v>
      </c>
      <c r="H803">
        <v>4568.2</v>
      </c>
    </row>
    <row r="804" spans="1:8" x14ac:dyDescent="0.2">
      <c r="A804" s="2">
        <v>45380</v>
      </c>
      <c r="B804">
        <v>176</v>
      </c>
      <c r="C804">
        <v>38</v>
      </c>
      <c r="D804">
        <v>101</v>
      </c>
      <c r="E804">
        <v>317</v>
      </c>
      <c r="F804">
        <v>87</v>
      </c>
      <c r="G804">
        <v>32.47</v>
      </c>
      <c r="H804">
        <v>10294.02</v>
      </c>
    </row>
    <row r="805" spans="1:8" x14ac:dyDescent="0.2">
      <c r="A805" s="2">
        <v>45381</v>
      </c>
      <c r="B805">
        <v>220</v>
      </c>
      <c r="C805">
        <v>68</v>
      </c>
      <c r="D805">
        <v>85</v>
      </c>
      <c r="E805">
        <v>380</v>
      </c>
      <c r="F805">
        <v>85</v>
      </c>
      <c r="G805">
        <v>28.59</v>
      </c>
      <c r="H805">
        <v>10865.2</v>
      </c>
    </row>
    <row r="806" spans="1:8" x14ac:dyDescent="0.2">
      <c r="A806" s="2">
        <v>45382</v>
      </c>
      <c r="B806">
        <v>114</v>
      </c>
      <c r="C806">
        <v>35</v>
      </c>
      <c r="D806">
        <v>69</v>
      </c>
      <c r="E806">
        <v>218</v>
      </c>
      <c r="F806">
        <v>88</v>
      </c>
      <c r="G806">
        <v>28.12</v>
      </c>
      <c r="H806">
        <v>6130.7</v>
      </c>
    </row>
    <row r="807" spans="1:8" x14ac:dyDescent="0.2">
      <c r="A807" s="2">
        <v>45383</v>
      </c>
      <c r="B807">
        <v>59</v>
      </c>
      <c r="C807">
        <v>61</v>
      </c>
      <c r="D807">
        <v>96</v>
      </c>
      <c r="E807">
        <v>218</v>
      </c>
      <c r="F807">
        <v>76</v>
      </c>
      <c r="G807">
        <v>26.35</v>
      </c>
      <c r="H807">
        <v>5744.79</v>
      </c>
    </row>
    <row r="808" spans="1:8" x14ac:dyDescent="0.2">
      <c r="A808" s="2">
        <v>45384</v>
      </c>
      <c r="B808">
        <v>52</v>
      </c>
      <c r="C808">
        <v>41</v>
      </c>
      <c r="D808">
        <v>87</v>
      </c>
      <c r="E808">
        <v>180</v>
      </c>
      <c r="F808">
        <v>81</v>
      </c>
      <c r="G808">
        <v>27.43</v>
      </c>
      <c r="H808">
        <v>4936.7700000000004</v>
      </c>
    </row>
    <row r="809" spans="1:8" x14ac:dyDescent="0.2">
      <c r="A809" s="2">
        <v>45385</v>
      </c>
      <c r="B809">
        <v>43</v>
      </c>
      <c r="C809">
        <v>17</v>
      </c>
      <c r="D809">
        <v>43</v>
      </c>
      <c r="E809">
        <v>103</v>
      </c>
      <c r="F809">
        <v>79</v>
      </c>
      <c r="G809">
        <v>29.79</v>
      </c>
      <c r="H809">
        <v>3068.53</v>
      </c>
    </row>
    <row r="810" spans="1:8" x14ac:dyDescent="0.2">
      <c r="A810" s="2">
        <v>45386</v>
      </c>
      <c r="B810">
        <v>71</v>
      </c>
      <c r="C810">
        <v>31</v>
      </c>
      <c r="D810">
        <v>42</v>
      </c>
      <c r="E810">
        <v>144</v>
      </c>
      <c r="F810">
        <v>94</v>
      </c>
      <c r="G810">
        <v>27.8</v>
      </c>
      <c r="H810">
        <v>4002.61</v>
      </c>
    </row>
    <row r="811" spans="1:8" x14ac:dyDescent="0.2">
      <c r="A811" s="2">
        <v>45387</v>
      </c>
      <c r="B811">
        <v>115</v>
      </c>
      <c r="C811">
        <v>56</v>
      </c>
      <c r="D811">
        <v>58</v>
      </c>
      <c r="E811">
        <v>233</v>
      </c>
      <c r="F811">
        <v>87</v>
      </c>
      <c r="G811">
        <v>29.1</v>
      </c>
      <c r="H811">
        <v>6779.84</v>
      </c>
    </row>
    <row r="812" spans="1:8" x14ac:dyDescent="0.2">
      <c r="A812" s="2">
        <v>45388</v>
      </c>
      <c r="B812">
        <v>210</v>
      </c>
      <c r="C812">
        <v>52</v>
      </c>
      <c r="D812">
        <v>100</v>
      </c>
      <c r="E812">
        <v>362</v>
      </c>
      <c r="F812">
        <v>86</v>
      </c>
      <c r="G812">
        <v>27.74</v>
      </c>
      <c r="H812">
        <v>10040.85</v>
      </c>
    </row>
    <row r="813" spans="1:8" x14ac:dyDescent="0.2">
      <c r="A813" s="2">
        <v>45389</v>
      </c>
      <c r="B813">
        <v>69</v>
      </c>
      <c r="C813">
        <v>25</v>
      </c>
      <c r="D813">
        <v>86</v>
      </c>
      <c r="E813">
        <v>180</v>
      </c>
      <c r="F813">
        <v>81</v>
      </c>
      <c r="G813">
        <v>27.64</v>
      </c>
      <c r="H813">
        <v>4975</v>
      </c>
    </row>
    <row r="814" spans="1:8" x14ac:dyDescent="0.2">
      <c r="A814" s="2">
        <v>45390</v>
      </c>
      <c r="B814">
        <v>31</v>
      </c>
      <c r="C814">
        <v>35</v>
      </c>
      <c r="D814">
        <v>73</v>
      </c>
      <c r="E814">
        <v>139</v>
      </c>
      <c r="F814">
        <v>81</v>
      </c>
      <c r="G814">
        <v>26.89</v>
      </c>
      <c r="H814">
        <v>3737.26</v>
      </c>
    </row>
    <row r="815" spans="1:8" x14ac:dyDescent="0.2">
      <c r="A815" s="2">
        <v>45391</v>
      </c>
      <c r="B815">
        <v>61</v>
      </c>
      <c r="C815">
        <v>49</v>
      </c>
      <c r="D815">
        <v>70</v>
      </c>
      <c r="E815">
        <v>182</v>
      </c>
      <c r="F815">
        <v>95</v>
      </c>
      <c r="G815">
        <v>21.48</v>
      </c>
      <c r="H815">
        <v>3908.82</v>
      </c>
    </row>
    <row r="816" spans="1:8" x14ac:dyDescent="0.2">
      <c r="A816" s="2">
        <v>45392</v>
      </c>
      <c r="B816">
        <v>55</v>
      </c>
      <c r="C816">
        <v>28</v>
      </c>
      <c r="D816">
        <v>71</v>
      </c>
      <c r="E816">
        <v>154</v>
      </c>
      <c r="F816">
        <v>83</v>
      </c>
      <c r="G816">
        <v>22.5</v>
      </c>
      <c r="H816">
        <v>3465.4</v>
      </c>
    </row>
    <row r="817" spans="1:8" x14ac:dyDescent="0.2">
      <c r="A817" s="2">
        <v>45393</v>
      </c>
      <c r="B817">
        <v>55</v>
      </c>
      <c r="C817">
        <v>46</v>
      </c>
      <c r="D817">
        <v>106</v>
      </c>
      <c r="E817">
        <v>208</v>
      </c>
      <c r="F817">
        <v>96</v>
      </c>
      <c r="G817">
        <v>24.81</v>
      </c>
      <c r="H817">
        <v>5159.91</v>
      </c>
    </row>
    <row r="818" spans="1:8" x14ac:dyDescent="0.2">
      <c r="A818" s="2">
        <v>45394</v>
      </c>
      <c r="B818">
        <v>120</v>
      </c>
      <c r="C818">
        <v>56</v>
      </c>
      <c r="D818">
        <v>82</v>
      </c>
      <c r="E818">
        <v>258</v>
      </c>
      <c r="F818">
        <v>87</v>
      </c>
      <c r="G818">
        <v>27.7</v>
      </c>
      <c r="H818">
        <v>7145.59</v>
      </c>
    </row>
    <row r="819" spans="1:8" x14ac:dyDescent="0.2">
      <c r="A819" s="2">
        <v>45395</v>
      </c>
      <c r="B819">
        <v>296</v>
      </c>
      <c r="C819">
        <v>38</v>
      </c>
      <c r="D819">
        <v>69</v>
      </c>
      <c r="E819">
        <v>410</v>
      </c>
      <c r="F819">
        <v>91</v>
      </c>
      <c r="G819">
        <v>24.69</v>
      </c>
      <c r="H819">
        <v>10124</v>
      </c>
    </row>
    <row r="820" spans="1:8" x14ac:dyDescent="0.2">
      <c r="A820" s="2">
        <v>45396</v>
      </c>
      <c r="B820">
        <v>48</v>
      </c>
      <c r="C820">
        <v>18</v>
      </c>
      <c r="D820">
        <v>70</v>
      </c>
      <c r="E820">
        <v>136</v>
      </c>
      <c r="F820">
        <v>75</v>
      </c>
      <c r="G820">
        <v>20.69</v>
      </c>
      <c r="H820">
        <v>2813.54</v>
      </c>
    </row>
    <row r="821" spans="1:8" x14ac:dyDescent="0.2">
      <c r="A821" s="2">
        <v>45397</v>
      </c>
      <c r="B821">
        <v>43</v>
      </c>
      <c r="C821">
        <v>4</v>
      </c>
      <c r="D821">
        <v>53</v>
      </c>
      <c r="E821">
        <v>100</v>
      </c>
      <c r="F821">
        <v>76</v>
      </c>
      <c r="G821">
        <v>30.8</v>
      </c>
      <c r="H821">
        <v>3080.19</v>
      </c>
    </row>
    <row r="822" spans="1:8" x14ac:dyDescent="0.2">
      <c r="A822" s="2">
        <v>45398</v>
      </c>
      <c r="B822">
        <v>50</v>
      </c>
      <c r="C822">
        <v>16</v>
      </c>
      <c r="D822">
        <v>47</v>
      </c>
      <c r="E822">
        <v>113</v>
      </c>
      <c r="F822">
        <v>78</v>
      </c>
      <c r="G822">
        <v>14.36</v>
      </c>
      <c r="H822">
        <v>1622.43</v>
      </c>
    </row>
    <row r="823" spans="1:8" x14ac:dyDescent="0.2">
      <c r="A823" s="2">
        <v>45399</v>
      </c>
      <c r="B823">
        <v>38</v>
      </c>
      <c r="C823">
        <v>28</v>
      </c>
      <c r="D823">
        <v>69</v>
      </c>
      <c r="E823">
        <v>135</v>
      </c>
      <c r="F823">
        <v>84</v>
      </c>
      <c r="G823">
        <v>25.33</v>
      </c>
      <c r="H823">
        <v>3419.65</v>
      </c>
    </row>
    <row r="824" spans="1:8" x14ac:dyDescent="0.2">
      <c r="A824" s="2">
        <v>45400</v>
      </c>
      <c r="B824">
        <v>33</v>
      </c>
      <c r="C824">
        <v>4</v>
      </c>
      <c r="D824">
        <v>44</v>
      </c>
      <c r="E824">
        <v>81</v>
      </c>
      <c r="F824">
        <v>81</v>
      </c>
      <c r="G824">
        <v>28.7</v>
      </c>
      <c r="H824">
        <v>2324.8000000000002</v>
      </c>
    </row>
    <row r="825" spans="1:8" x14ac:dyDescent="0.2">
      <c r="A825" s="2">
        <v>45401</v>
      </c>
      <c r="B825">
        <v>116</v>
      </c>
      <c r="C825">
        <v>44</v>
      </c>
      <c r="D825">
        <v>64</v>
      </c>
      <c r="E825">
        <v>226</v>
      </c>
      <c r="F825">
        <v>90</v>
      </c>
      <c r="G825">
        <v>23.18</v>
      </c>
      <c r="H825">
        <v>5237.7299999999996</v>
      </c>
    </row>
    <row r="826" spans="1:8" x14ac:dyDescent="0.2">
      <c r="A826" s="2">
        <v>45402</v>
      </c>
      <c r="B826">
        <v>254</v>
      </c>
      <c r="C826">
        <v>45</v>
      </c>
      <c r="D826">
        <v>104</v>
      </c>
      <c r="E826">
        <v>404</v>
      </c>
      <c r="F826">
        <v>89</v>
      </c>
      <c r="G826">
        <v>25.67</v>
      </c>
      <c r="H826">
        <v>10372.17</v>
      </c>
    </row>
    <row r="827" spans="1:8" x14ac:dyDescent="0.2">
      <c r="A827" s="2">
        <v>45403</v>
      </c>
      <c r="B827">
        <v>40</v>
      </c>
      <c r="C827">
        <v>30</v>
      </c>
      <c r="D827">
        <v>49</v>
      </c>
      <c r="E827">
        <v>119</v>
      </c>
      <c r="F827">
        <v>81</v>
      </c>
      <c r="G827">
        <v>30.33</v>
      </c>
      <c r="H827">
        <v>3608.96</v>
      </c>
    </row>
    <row r="828" spans="1:8" x14ac:dyDescent="0.2">
      <c r="A828" s="2">
        <v>45404</v>
      </c>
      <c r="B828">
        <v>22</v>
      </c>
      <c r="C828">
        <v>13</v>
      </c>
      <c r="D828">
        <v>38</v>
      </c>
      <c r="E828">
        <v>73</v>
      </c>
      <c r="F828">
        <v>72</v>
      </c>
      <c r="G828">
        <v>24.82</v>
      </c>
      <c r="H828">
        <v>1811.99</v>
      </c>
    </row>
    <row r="829" spans="1:8" x14ac:dyDescent="0.2">
      <c r="A829" s="2">
        <v>45405</v>
      </c>
      <c r="B829">
        <v>31</v>
      </c>
      <c r="C829">
        <v>7</v>
      </c>
      <c r="D829">
        <v>47</v>
      </c>
      <c r="E829">
        <v>85</v>
      </c>
      <c r="F829">
        <v>78</v>
      </c>
      <c r="G829">
        <v>22.4</v>
      </c>
      <c r="H829">
        <v>1903.81</v>
      </c>
    </row>
    <row r="830" spans="1:8" x14ac:dyDescent="0.2">
      <c r="A830" s="2">
        <v>45406</v>
      </c>
      <c r="B830">
        <v>44</v>
      </c>
      <c r="C830">
        <v>33</v>
      </c>
      <c r="D830">
        <v>56</v>
      </c>
      <c r="E830">
        <v>133</v>
      </c>
      <c r="F830">
        <v>84</v>
      </c>
      <c r="G830">
        <v>22.15</v>
      </c>
      <c r="H830">
        <v>2946.36</v>
      </c>
    </row>
    <row r="831" spans="1:8" x14ac:dyDescent="0.2">
      <c r="A831" s="2">
        <v>45407</v>
      </c>
      <c r="B831">
        <v>64</v>
      </c>
      <c r="C831">
        <v>23</v>
      </c>
      <c r="D831">
        <v>65</v>
      </c>
      <c r="E831">
        <v>152</v>
      </c>
      <c r="F831">
        <v>83</v>
      </c>
      <c r="G831">
        <v>22.67</v>
      </c>
      <c r="H831">
        <v>3446.4</v>
      </c>
    </row>
    <row r="832" spans="1:8" x14ac:dyDescent="0.2">
      <c r="A832" s="2">
        <v>45408</v>
      </c>
      <c r="B832">
        <v>92</v>
      </c>
      <c r="C832">
        <v>43</v>
      </c>
      <c r="D832">
        <v>55</v>
      </c>
      <c r="E832">
        <v>190</v>
      </c>
      <c r="F832">
        <v>86</v>
      </c>
      <c r="G832">
        <v>29.55</v>
      </c>
      <c r="H832">
        <v>5613.78</v>
      </c>
    </row>
    <row r="833" spans="1:8" x14ac:dyDescent="0.2">
      <c r="A833" s="2">
        <v>45409</v>
      </c>
      <c r="B833">
        <v>283</v>
      </c>
      <c r="C833">
        <v>34</v>
      </c>
      <c r="D833">
        <v>123</v>
      </c>
      <c r="E833">
        <v>440</v>
      </c>
      <c r="F833">
        <v>93</v>
      </c>
      <c r="G833">
        <v>23.43</v>
      </c>
      <c r="H833">
        <v>10309.73</v>
      </c>
    </row>
    <row r="834" spans="1:8" x14ac:dyDescent="0.2">
      <c r="A834" s="2">
        <v>45410</v>
      </c>
      <c r="B834">
        <v>89</v>
      </c>
      <c r="C834">
        <v>35</v>
      </c>
      <c r="D834">
        <v>82</v>
      </c>
      <c r="E834">
        <v>206</v>
      </c>
      <c r="F834">
        <v>82</v>
      </c>
      <c r="G834">
        <v>27.32</v>
      </c>
      <c r="H834">
        <v>5628.58</v>
      </c>
    </row>
    <row r="835" spans="1:8" x14ac:dyDescent="0.2">
      <c r="A835" s="2">
        <v>45411</v>
      </c>
      <c r="B835">
        <v>38</v>
      </c>
      <c r="C835">
        <v>14</v>
      </c>
      <c r="D835">
        <v>62</v>
      </c>
      <c r="E835">
        <v>116</v>
      </c>
      <c r="F835">
        <v>81</v>
      </c>
      <c r="G835">
        <v>21.03</v>
      </c>
      <c r="H835">
        <v>2439.16</v>
      </c>
    </row>
    <row r="836" spans="1:8" x14ac:dyDescent="0.2">
      <c r="A836" s="2">
        <v>45412</v>
      </c>
      <c r="B836">
        <v>80</v>
      </c>
      <c r="C836">
        <v>13</v>
      </c>
      <c r="D836">
        <v>60</v>
      </c>
      <c r="E836">
        <v>153</v>
      </c>
      <c r="F836">
        <v>81</v>
      </c>
      <c r="G836">
        <v>20.059999999999999</v>
      </c>
      <c r="H836">
        <v>3068.47</v>
      </c>
    </row>
    <row r="837" spans="1:8" x14ac:dyDescent="0.2">
      <c r="A837" s="2">
        <v>45413</v>
      </c>
      <c r="B837">
        <v>71</v>
      </c>
      <c r="C837">
        <v>18</v>
      </c>
      <c r="D837">
        <v>55</v>
      </c>
      <c r="E837">
        <v>144</v>
      </c>
      <c r="F837">
        <v>87</v>
      </c>
      <c r="G837">
        <v>18.96</v>
      </c>
      <c r="H837">
        <v>2730.55</v>
      </c>
    </row>
    <row r="838" spans="1:8" x14ac:dyDescent="0.2">
      <c r="A838" s="2">
        <v>45414</v>
      </c>
      <c r="B838">
        <v>64</v>
      </c>
      <c r="C838">
        <v>6</v>
      </c>
      <c r="D838">
        <v>40</v>
      </c>
      <c r="E838">
        <v>110</v>
      </c>
      <c r="F838">
        <v>90</v>
      </c>
      <c r="G838">
        <v>29.9</v>
      </c>
      <c r="H838">
        <v>3289.52</v>
      </c>
    </row>
    <row r="839" spans="1:8" x14ac:dyDescent="0.2">
      <c r="A839" s="2">
        <v>45415</v>
      </c>
      <c r="B839">
        <v>134</v>
      </c>
      <c r="C839">
        <v>13</v>
      </c>
      <c r="D839">
        <v>82</v>
      </c>
      <c r="E839">
        <v>229</v>
      </c>
      <c r="F839">
        <v>83</v>
      </c>
      <c r="G839">
        <v>27.75</v>
      </c>
      <c r="H839">
        <v>6355.55</v>
      </c>
    </row>
    <row r="840" spans="1:8" x14ac:dyDescent="0.2">
      <c r="A840" s="2">
        <v>45416</v>
      </c>
      <c r="B840">
        <v>276</v>
      </c>
      <c r="C840">
        <v>59</v>
      </c>
      <c r="D840">
        <v>117</v>
      </c>
      <c r="E840">
        <v>454</v>
      </c>
      <c r="F840">
        <v>91</v>
      </c>
      <c r="G840">
        <v>23.59</v>
      </c>
      <c r="H840">
        <v>10708.98</v>
      </c>
    </row>
    <row r="841" spans="1:8" x14ac:dyDescent="0.2">
      <c r="A841" s="2">
        <v>45417</v>
      </c>
      <c r="B841">
        <v>160</v>
      </c>
      <c r="C841">
        <v>70</v>
      </c>
      <c r="D841">
        <v>70</v>
      </c>
      <c r="E841">
        <v>310</v>
      </c>
      <c r="F841">
        <v>89</v>
      </c>
      <c r="G841">
        <v>26.37</v>
      </c>
      <c r="H841">
        <v>8174.13</v>
      </c>
    </row>
    <row r="842" spans="1:8" x14ac:dyDescent="0.2">
      <c r="A842" s="2">
        <v>45418</v>
      </c>
      <c r="B842">
        <v>56</v>
      </c>
      <c r="C842">
        <v>13</v>
      </c>
      <c r="D842">
        <v>78</v>
      </c>
      <c r="E842">
        <v>147</v>
      </c>
      <c r="F842">
        <v>77</v>
      </c>
      <c r="G842">
        <v>21.65</v>
      </c>
      <c r="H842">
        <v>3182.75</v>
      </c>
    </row>
    <row r="843" spans="1:8" x14ac:dyDescent="0.2">
      <c r="A843" s="2">
        <v>45419</v>
      </c>
      <c r="B843">
        <v>36</v>
      </c>
      <c r="C843">
        <v>14</v>
      </c>
      <c r="D843">
        <v>80</v>
      </c>
      <c r="E843">
        <v>130</v>
      </c>
      <c r="F843">
        <v>79</v>
      </c>
      <c r="G843">
        <v>23.85</v>
      </c>
      <c r="H843">
        <v>3101.07</v>
      </c>
    </row>
    <row r="844" spans="1:8" x14ac:dyDescent="0.2">
      <c r="A844" s="2">
        <v>45420</v>
      </c>
      <c r="B844">
        <v>17</v>
      </c>
      <c r="C844">
        <v>13</v>
      </c>
      <c r="D844">
        <v>56</v>
      </c>
      <c r="E844">
        <v>86</v>
      </c>
      <c r="F844">
        <v>73</v>
      </c>
      <c r="G844">
        <v>29.49</v>
      </c>
      <c r="H844">
        <v>2536.1799999999998</v>
      </c>
    </row>
    <row r="845" spans="1:8" x14ac:dyDescent="0.2">
      <c r="A845" s="2">
        <v>45421</v>
      </c>
      <c r="B845">
        <v>44</v>
      </c>
      <c r="C845">
        <v>24</v>
      </c>
      <c r="D845">
        <v>56</v>
      </c>
      <c r="E845">
        <v>124</v>
      </c>
      <c r="F845">
        <v>87</v>
      </c>
      <c r="G845">
        <v>23.55</v>
      </c>
      <c r="H845">
        <v>2920.49</v>
      </c>
    </row>
    <row r="846" spans="1:8" x14ac:dyDescent="0.2">
      <c r="A846" s="2">
        <v>45422</v>
      </c>
      <c r="B846">
        <v>54</v>
      </c>
      <c r="C846">
        <v>58</v>
      </c>
      <c r="D846">
        <v>64</v>
      </c>
      <c r="E846">
        <v>176</v>
      </c>
      <c r="F846">
        <v>90</v>
      </c>
      <c r="G846">
        <v>30.38</v>
      </c>
      <c r="H846">
        <v>5347.47</v>
      </c>
    </row>
    <row r="847" spans="1:8" x14ac:dyDescent="0.2">
      <c r="A847" s="2">
        <v>45423</v>
      </c>
      <c r="B847">
        <v>185</v>
      </c>
      <c r="C847">
        <v>58</v>
      </c>
      <c r="D847">
        <v>111</v>
      </c>
      <c r="E847">
        <v>354</v>
      </c>
      <c r="F847">
        <v>78</v>
      </c>
      <c r="G847">
        <v>27.07</v>
      </c>
      <c r="H847">
        <v>9582.3799999999992</v>
      </c>
    </row>
    <row r="848" spans="1:8" x14ac:dyDescent="0.2">
      <c r="A848" s="2">
        <v>45424</v>
      </c>
      <c r="B848">
        <v>43</v>
      </c>
      <c r="C848">
        <v>64</v>
      </c>
      <c r="D848">
        <v>84</v>
      </c>
      <c r="E848">
        <v>193</v>
      </c>
      <c r="F848">
        <v>88</v>
      </c>
      <c r="G848">
        <v>30.77</v>
      </c>
      <c r="H848">
        <v>5939.42</v>
      </c>
    </row>
    <row r="849" spans="1:8" x14ac:dyDescent="0.2">
      <c r="A849" s="2">
        <v>45425</v>
      </c>
      <c r="B849">
        <v>32</v>
      </c>
      <c r="C849">
        <v>9</v>
      </c>
      <c r="D849">
        <v>58</v>
      </c>
      <c r="E849">
        <v>99</v>
      </c>
      <c r="F849">
        <v>80</v>
      </c>
      <c r="G849">
        <v>26.45</v>
      </c>
      <c r="H849">
        <v>2618.83</v>
      </c>
    </row>
    <row r="850" spans="1:8" x14ac:dyDescent="0.2">
      <c r="A850" s="2">
        <v>45426</v>
      </c>
      <c r="B850">
        <v>42</v>
      </c>
      <c r="C850">
        <v>25</v>
      </c>
      <c r="D850">
        <v>55</v>
      </c>
      <c r="E850">
        <v>122</v>
      </c>
      <c r="F850">
        <v>77</v>
      </c>
      <c r="G850">
        <v>30.56</v>
      </c>
      <c r="H850">
        <v>3728.61</v>
      </c>
    </row>
    <row r="851" spans="1:8" x14ac:dyDescent="0.2">
      <c r="A851" s="2">
        <v>45427</v>
      </c>
      <c r="B851">
        <v>61</v>
      </c>
      <c r="C851">
        <v>10</v>
      </c>
      <c r="D851">
        <v>73</v>
      </c>
      <c r="E851">
        <v>144</v>
      </c>
      <c r="F851">
        <v>90</v>
      </c>
      <c r="G851">
        <v>30.59</v>
      </c>
      <c r="H851">
        <v>4405.42</v>
      </c>
    </row>
    <row r="852" spans="1:8" x14ac:dyDescent="0.2">
      <c r="A852" s="2">
        <v>45428</v>
      </c>
      <c r="B852">
        <v>63</v>
      </c>
      <c r="C852">
        <v>16</v>
      </c>
      <c r="D852">
        <v>61</v>
      </c>
      <c r="E852">
        <v>140</v>
      </c>
      <c r="F852">
        <v>88</v>
      </c>
      <c r="G852">
        <v>28.78</v>
      </c>
      <c r="H852">
        <v>4029.39</v>
      </c>
    </row>
    <row r="853" spans="1:8" x14ac:dyDescent="0.2">
      <c r="A853" s="2">
        <v>45429</v>
      </c>
      <c r="B853">
        <v>123</v>
      </c>
      <c r="C853">
        <v>21</v>
      </c>
      <c r="D853">
        <v>58</v>
      </c>
      <c r="E853">
        <v>202</v>
      </c>
      <c r="F853">
        <v>83</v>
      </c>
      <c r="G853">
        <v>22.65</v>
      </c>
      <c r="H853">
        <v>4574.6000000000004</v>
      </c>
    </row>
    <row r="854" spans="1:8" x14ac:dyDescent="0.2">
      <c r="A854" s="2">
        <v>45430</v>
      </c>
      <c r="B854">
        <v>201</v>
      </c>
      <c r="C854">
        <v>69</v>
      </c>
      <c r="D854">
        <v>88</v>
      </c>
      <c r="E854">
        <v>358</v>
      </c>
      <c r="F854">
        <v>87</v>
      </c>
      <c r="G854">
        <v>22.49</v>
      </c>
      <c r="H854">
        <v>8050.54</v>
      </c>
    </row>
    <row r="855" spans="1:8" x14ac:dyDescent="0.2">
      <c r="A855" s="2">
        <v>45431</v>
      </c>
      <c r="B855">
        <v>58</v>
      </c>
      <c r="C855">
        <v>25</v>
      </c>
      <c r="D855">
        <v>58</v>
      </c>
      <c r="E855">
        <v>141</v>
      </c>
      <c r="F855">
        <v>79</v>
      </c>
      <c r="G855">
        <v>26.67</v>
      </c>
      <c r="H855">
        <v>3761.18</v>
      </c>
    </row>
    <row r="856" spans="1:8" x14ac:dyDescent="0.2">
      <c r="A856" s="2">
        <v>45432</v>
      </c>
      <c r="B856">
        <v>75</v>
      </c>
      <c r="C856">
        <v>26</v>
      </c>
      <c r="D856">
        <v>39</v>
      </c>
      <c r="E856">
        <v>142</v>
      </c>
      <c r="F856">
        <v>81</v>
      </c>
      <c r="G856">
        <v>16.670000000000002</v>
      </c>
      <c r="H856">
        <v>2367.3000000000002</v>
      </c>
    </row>
    <row r="857" spans="1:8" x14ac:dyDescent="0.2">
      <c r="A857" s="2">
        <v>45433</v>
      </c>
      <c r="B857">
        <v>50</v>
      </c>
      <c r="C857">
        <v>26</v>
      </c>
      <c r="D857">
        <v>55</v>
      </c>
      <c r="E857">
        <v>131</v>
      </c>
      <c r="F857">
        <v>82</v>
      </c>
      <c r="G857">
        <v>23.16</v>
      </c>
      <c r="H857">
        <v>3034.12</v>
      </c>
    </row>
    <row r="858" spans="1:8" x14ac:dyDescent="0.2">
      <c r="A858" s="2">
        <v>45434</v>
      </c>
      <c r="B858">
        <v>27</v>
      </c>
      <c r="C858">
        <v>13</v>
      </c>
      <c r="D858">
        <v>68</v>
      </c>
      <c r="E858">
        <v>108</v>
      </c>
      <c r="F858">
        <v>84</v>
      </c>
      <c r="G858">
        <v>25.56</v>
      </c>
      <c r="H858">
        <v>2760.02</v>
      </c>
    </row>
    <row r="859" spans="1:8" x14ac:dyDescent="0.2">
      <c r="A859" s="2">
        <v>45435</v>
      </c>
      <c r="B859">
        <v>44</v>
      </c>
      <c r="C859">
        <v>17</v>
      </c>
      <c r="D859">
        <v>54</v>
      </c>
      <c r="E859">
        <v>115</v>
      </c>
      <c r="F859">
        <v>72</v>
      </c>
      <c r="G859">
        <v>22.36</v>
      </c>
      <c r="H859">
        <v>2571.4</v>
      </c>
    </row>
    <row r="860" spans="1:8" x14ac:dyDescent="0.2">
      <c r="A860" s="2">
        <v>45436</v>
      </c>
      <c r="B860">
        <v>134</v>
      </c>
      <c r="C860">
        <v>37</v>
      </c>
      <c r="D860">
        <v>62</v>
      </c>
      <c r="E860">
        <v>237</v>
      </c>
      <c r="F860">
        <v>81</v>
      </c>
      <c r="G860">
        <v>29.57</v>
      </c>
      <c r="H860">
        <v>7007.06</v>
      </c>
    </row>
    <row r="861" spans="1:8" x14ac:dyDescent="0.2">
      <c r="A861" s="2">
        <v>45437</v>
      </c>
      <c r="B861">
        <v>147</v>
      </c>
      <c r="C861">
        <v>58</v>
      </c>
      <c r="D861">
        <v>106</v>
      </c>
      <c r="E861">
        <v>311</v>
      </c>
      <c r="F861">
        <v>77</v>
      </c>
      <c r="G861">
        <v>23.59</v>
      </c>
      <c r="H861">
        <v>7337</v>
      </c>
    </row>
    <row r="862" spans="1:8" x14ac:dyDescent="0.2">
      <c r="A862" s="2">
        <v>45438</v>
      </c>
      <c r="B862">
        <v>144</v>
      </c>
      <c r="C862">
        <v>49</v>
      </c>
      <c r="D862">
        <v>103</v>
      </c>
      <c r="E862">
        <v>298</v>
      </c>
      <c r="F862">
        <v>79</v>
      </c>
      <c r="G862">
        <v>26.49</v>
      </c>
      <c r="H862">
        <v>7895.22</v>
      </c>
    </row>
    <row r="863" spans="1:8" x14ac:dyDescent="0.2">
      <c r="A863" s="2">
        <v>45439</v>
      </c>
      <c r="B863">
        <v>44</v>
      </c>
      <c r="C863">
        <v>63</v>
      </c>
      <c r="D863">
        <v>115</v>
      </c>
      <c r="E863">
        <v>222</v>
      </c>
      <c r="F863">
        <v>77</v>
      </c>
      <c r="G863">
        <v>25.52</v>
      </c>
      <c r="H863">
        <v>5666.52</v>
      </c>
    </row>
    <row r="864" spans="1:8" x14ac:dyDescent="0.2">
      <c r="A864" s="2">
        <v>45440</v>
      </c>
      <c r="B864">
        <v>71</v>
      </c>
      <c r="C864">
        <v>52</v>
      </c>
      <c r="D864">
        <v>95</v>
      </c>
      <c r="E864">
        <v>218</v>
      </c>
      <c r="F864">
        <v>79</v>
      </c>
      <c r="G864">
        <v>20.77</v>
      </c>
      <c r="H864">
        <v>4528.5</v>
      </c>
    </row>
    <row r="865" spans="1:8" x14ac:dyDescent="0.2">
      <c r="A865" s="2">
        <v>45441</v>
      </c>
      <c r="B865">
        <v>51</v>
      </c>
      <c r="C865">
        <v>72</v>
      </c>
      <c r="D865">
        <v>50</v>
      </c>
      <c r="E865">
        <v>173</v>
      </c>
      <c r="F865">
        <v>95</v>
      </c>
      <c r="G865">
        <v>25.46</v>
      </c>
      <c r="H865">
        <v>4403.83</v>
      </c>
    </row>
    <row r="866" spans="1:8" x14ac:dyDescent="0.2">
      <c r="A866" s="2">
        <v>45442</v>
      </c>
      <c r="B866">
        <v>42</v>
      </c>
      <c r="C866">
        <v>50</v>
      </c>
      <c r="D866">
        <v>83</v>
      </c>
      <c r="E866">
        <v>175</v>
      </c>
      <c r="F866">
        <v>92</v>
      </c>
      <c r="G866">
        <v>23.19</v>
      </c>
      <c r="H866">
        <v>4058.98</v>
      </c>
    </row>
    <row r="867" spans="1:8" x14ac:dyDescent="0.2">
      <c r="A867" s="2">
        <v>45443</v>
      </c>
      <c r="B867">
        <v>104</v>
      </c>
      <c r="C867">
        <v>56</v>
      </c>
      <c r="D867">
        <v>106</v>
      </c>
      <c r="E867">
        <v>268</v>
      </c>
      <c r="F867">
        <v>86</v>
      </c>
      <c r="G867">
        <v>28.12</v>
      </c>
      <c r="H867">
        <v>7536.47</v>
      </c>
    </row>
    <row r="868" spans="1:8" x14ac:dyDescent="0.2">
      <c r="A868" s="2">
        <v>45444</v>
      </c>
      <c r="B868">
        <v>201</v>
      </c>
      <c r="C868">
        <v>46</v>
      </c>
      <c r="D868">
        <v>86</v>
      </c>
      <c r="E868">
        <v>333</v>
      </c>
      <c r="F868">
        <v>91</v>
      </c>
      <c r="G868">
        <v>25.34</v>
      </c>
      <c r="H868">
        <v>8437.48</v>
      </c>
    </row>
    <row r="869" spans="1:8" x14ac:dyDescent="0.2">
      <c r="A869" s="2">
        <v>45445</v>
      </c>
      <c r="B869">
        <v>47</v>
      </c>
      <c r="C869">
        <v>21</v>
      </c>
      <c r="D869">
        <v>59</v>
      </c>
      <c r="E869">
        <v>127</v>
      </c>
      <c r="F869">
        <v>72</v>
      </c>
      <c r="G869">
        <v>27.09</v>
      </c>
      <c r="H869">
        <v>3440.95</v>
      </c>
    </row>
    <row r="870" spans="1:8" x14ac:dyDescent="0.2">
      <c r="A870" s="2">
        <v>45446</v>
      </c>
      <c r="B870">
        <v>36</v>
      </c>
      <c r="C870">
        <v>11</v>
      </c>
      <c r="D870">
        <v>78</v>
      </c>
      <c r="E870">
        <v>128</v>
      </c>
      <c r="F870">
        <v>82</v>
      </c>
      <c r="G870">
        <v>25.46</v>
      </c>
      <c r="H870">
        <v>3259.14</v>
      </c>
    </row>
    <row r="871" spans="1:8" x14ac:dyDescent="0.2">
      <c r="A871" s="2">
        <v>45447</v>
      </c>
      <c r="B871">
        <v>43</v>
      </c>
      <c r="C871">
        <v>10</v>
      </c>
      <c r="D871">
        <v>67</v>
      </c>
      <c r="E871">
        <v>120</v>
      </c>
      <c r="F871">
        <v>83</v>
      </c>
      <c r="G871">
        <v>24.34</v>
      </c>
      <c r="H871">
        <v>2921.25</v>
      </c>
    </row>
    <row r="872" spans="1:8" x14ac:dyDescent="0.2">
      <c r="A872" s="2">
        <v>45448</v>
      </c>
      <c r="B872">
        <v>46</v>
      </c>
      <c r="C872">
        <v>17</v>
      </c>
      <c r="D872">
        <v>73</v>
      </c>
      <c r="E872">
        <v>136</v>
      </c>
      <c r="F872">
        <v>78</v>
      </c>
      <c r="G872">
        <v>17.07</v>
      </c>
      <c r="H872">
        <v>2321.2399999999998</v>
      </c>
    </row>
    <row r="873" spans="1:8" x14ac:dyDescent="0.2">
      <c r="A873" s="2">
        <v>45449</v>
      </c>
      <c r="B873">
        <v>78</v>
      </c>
      <c r="C873">
        <v>39</v>
      </c>
      <c r="D873">
        <v>42</v>
      </c>
      <c r="E873">
        <v>159</v>
      </c>
      <c r="F873">
        <v>88</v>
      </c>
      <c r="G873">
        <v>19.39</v>
      </c>
      <c r="H873">
        <v>3083.09</v>
      </c>
    </row>
    <row r="874" spans="1:8" x14ac:dyDescent="0.2">
      <c r="A874" s="2">
        <v>45450</v>
      </c>
      <c r="B874">
        <v>85</v>
      </c>
      <c r="C874">
        <v>28</v>
      </c>
      <c r="D874">
        <v>59</v>
      </c>
      <c r="E874">
        <v>172</v>
      </c>
      <c r="F874">
        <v>85</v>
      </c>
      <c r="G874">
        <v>24.26</v>
      </c>
      <c r="H874">
        <v>4172.8100000000004</v>
      </c>
    </row>
    <row r="875" spans="1:8" x14ac:dyDescent="0.2">
      <c r="A875" s="2">
        <v>45451</v>
      </c>
      <c r="B875">
        <v>214</v>
      </c>
      <c r="C875">
        <v>33</v>
      </c>
      <c r="D875">
        <v>80</v>
      </c>
      <c r="E875">
        <v>327</v>
      </c>
      <c r="F875">
        <v>86</v>
      </c>
      <c r="G875">
        <v>25.75</v>
      </c>
      <c r="H875">
        <v>8421.8700000000008</v>
      </c>
    </row>
    <row r="876" spans="1:8" x14ac:dyDescent="0.2">
      <c r="A876" s="2">
        <v>45452</v>
      </c>
      <c r="B876">
        <v>28</v>
      </c>
      <c r="C876">
        <v>23</v>
      </c>
      <c r="D876">
        <v>59</v>
      </c>
      <c r="E876">
        <v>110</v>
      </c>
      <c r="F876">
        <v>78</v>
      </c>
      <c r="G876">
        <v>25.32</v>
      </c>
      <c r="H876">
        <v>2785.02</v>
      </c>
    </row>
    <row r="877" spans="1:8" x14ac:dyDescent="0.2">
      <c r="A877" s="2">
        <v>45453</v>
      </c>
      <c r="B877">
        <v>26</v>
      </c>
      <c r="C877">
        <v>23</v>
      </c>
      <c r="D877">
        <v>75</v>
      </c>
      <c r="E877">
        <v>124</v>
      </c>
      <c r="F877">
        <v>79</v>
      </c>
      <c r="G877">
        <v>29.08</v>
      </c>
      <c r="H877">
        <v>3605.86</v>
      </c>
    </row>
    <row r="878" spans="1:8" x14ac:dyDescent="0.2">
      <c r="A878" s="2">
        <v>45454</v>
      </c>
      <c r="B878">
        <v>39</v>
      </c>
      <c r="C878">
        <v>33</v>
      </c>
      <c r="D878">
        <v>69</v>
      </c>
      <c r="E878">
        <v>141</v>
      </c>
      <c r="F878">
        <v>75</v>
      </c>
      <c r="G878">
        <v>20.84</v>
      </c>
      <c r="H878">
        <v>2937.92</v>
      </c>
    </row>
    <row r="879" spans="1:8" x14ac:dyDescent="0.2">
      <c r="A879" s="2">
        <v>45455</v>
      </c>
      <c r="B879">
        <v>39</v>
      </c>
      <c r="C879">
        <v>10</v>
      </c>
      <c r="D879">
        <v>54</v>
      </c>
      <c r="E879">
        <v>103</v>
      </c>
      <c r="F879">
        <v>78</v>
      </c>
      <c r="G879">
        <v>28.41</v>
      </c>
      <c r="H879">
        <v>2926.19</v>
      </c>
    </row>
    <row r="880" spans="1:8" x14ac:dyDescent="0.2">
      <c r="A880" s="2">
        <v>45456</v>
      </c>
      <c r="B880">
        <v>84</v>
      </c>
      <c r="C880">
        <v>17</v>
      </c>
      <c r="D880">
        <v>72</v>
      </c>
      <c r="E880">
        <v>173</v>
      </c>
      <c r="F880">
        <v>81</v>
      </c>
      <c r="G880">
        <v>18.77</v>
      </c>
      <c r="H880">
        <v>3247.41</v>
      </c>
    </row>
    <row r="881" spans="1:8" x14ac:dyDescent="0.2">
      <c r="A881" s="2">
        <v>45457</v>
      </c>
      <c r="B881">
        <v>85</v>
      </c>
      <c r="C881">
        <v>30</v>
      </c>
      <c r="D881">
        <v>101</v>
      </c>
      <c r="E881">
        <v>216</v>
      </c>
      <c r="F881">
        <v>89</v>
      </c>
      <c r="G881">
        <v>27.3</v>
      </c>
      <c r="H881">
        <v>5897.1</v>
      </c>
    </row>
    <row r="882" spans="1:8" x14ac:dyDescent="0.2">
      <c r="A882" s="2">
        <v>45458</v>
      </c>
      <c r="B882">
        <v>188</v>
      </c>
      <c r="C882">
        <v>45</v>
      </c>
      <c r="D882">
        <v>75</v>
      </c>
      <c r="E882">
        <v>308</v>
      </c>
      <c r="F882">
        <v>91</v>
      </c>
      <c r="G882">
        <v>25.36</v>
      </c>
      <c r="H882">
        <v>7812.19</v>
      </c>
    </row>
    <row r="883" spans="1:8" x14ac:dyDescent="0.2">
      <c r="A883" s="2">
        <v>45459</v>
      </c>
      <c r="B883">
        <v>108</v>
      </c>
      <c r="C883">
        <v>27</v>
      </c>
      <c r="D883">
        <v>104</v>
      </c>
      <c r="E883">
        <v>239</v>
      </c>
      <c r="F883">
        <v>83</v>
      </c>
      <c r="G883">
        <v>24.12</v>
      </c>
      <c r="H883">
        <v>5764.11</v>
      </c>
    </row>
    <row r="884" spans="1:8" x14ac:dyDescent="0.2">
      <c r="A884" s="2">
        <v>45460</v>
      </c>
      <c r="B884">
        <v>50</v>
      </c>
      <c r="C884">
        <v>38</v>
      </c>
      <c r="D884">
        <v>37</v>
      </c>
      <c r="E884">
        <v>127</v>
      </c>
      <c r="F884">
        <v>86</v>
      </c>
      <c r="G884">
        <v>21.8</v>
      </c>
      <c r="H884">
        <v>2768.86</v>
      </c>
    </row>
    <row r="885" spans="1:8" x14ac:dyDescent="0.2">
      <c r="A885" s="2">
        <v>45461</v>
      </c>
      <c r="B885">
        <v>26</v>
      </c>
      <c r="C885">
        <v>22</v>
      </c>
      <c r="D885">
        <v>72</v>
      </c>
      <c r="E885">
        <v>120</v>
      </c>
      <c r="F885">
        <v>73</v>
      </c>
      <c r="G885">
        <v>21.84</v>
      </c>
      <c r="H885">
        <v>2620.7800000000002</v>
      </c>
    </row>
    <row r="886" spans="1:8" x14ac:dyDescent="0.2">
      <c r="A886" s="2">
        <v>45462</v>
      </c>
      <c r="B886">
        <v>43</v>
      </c>
      <c r="C886">
        <v>23</v>
      </c>
      <c r="D886">
        <v>56</v>
      </c>
      <c r="E886">
        <v>122</v>
      </c>
      <c r="F886">
        <v>76</v>
      </c>
      <c r="G886">
        <v>21.87</v>
      </c>
      <c r="H886">
        <v>2667.82</v>
      </c>
    </row>
    <row r="887" spans="1:8" x14ac:dyDescent="0.2">
      <c r="A887" s="2">
        <v>45463</v>
      </c>
      <c r="B887">
        <v>51</v>
      </c>
      <c r="C887">
        <v>13</v>
      </c>
      <c r="D887">
        <v>60</v>
      </c>
      <c r="E887">
        <v>124</v>
      </c>
      <c r="F887">
        <v>84</v>
      </c>
      <c r="G887">
        <v>24.33</v>
      </c>
      <c r="H887">
        <v>3016.71</v>
      </c>
    </row>
    <row r="888" spans="1:8" x14ac:dyDescent="0.2">
      <c r="A888" s="2">
        <v>45464</v>
      </c>
      <c r="B888">
        <v>107</v>
      </c>
      <c r="C888">
        <v>37</v>
      </c>
      <c r="D888">
        <v>62</v>
      </c>
      <c r="E888">
        <v>206</v>
      </c>
      <c r="F888">
        <v>85</v>
      </c>
      <c r="G888">
        <v>23.9</v>
      </c>
      <c r="H888">
        <v>4924.37</v>
      </c>
    </row>
    <row r="889" spans="1:8" x14ac:dyDescent="0.2">
      <c r="A889" s="2">
        <v>45465</v>
      </c>
      <c r="B889">
        <v>255</v>
      </c>
      <c r="C889">
        <v>57</v>
      </c>
      <c r="D889">
        <v>69</v>
      </c>
      <c r="E889">
        <v>381</v>
      </c>
      <c r="F889">
        <v>87</v>
      </c>
      <c r="G889">
        <v>26.72</v>
      </c>
      <c r="H889">
        <v>10180.14</v>
      </c>
    </row>
    <row r="890" spans="1:8" x14ac:dyDescent="0.2">
      <c r="A890" s="2">
        <v>45466</v>
      </c>
      <c r="B890">
        <v>51</v>
      </c>
      <c r="C890">
        <v>23</v>
      </c>
      <c r="D890">
        <v>86</v>
      </c>
      <c r="E890">
        <v>160</v>
      </c>
      <c r="F890">
        <v>77</v>
      </c>
      <c r="G890">
        <v>25.91</v>
      </c>
      <c r="H890">
        <v>4145.21</v>
      </c>
    </row>
    <row r="891" spans="1:8" x14ac:dyDescent="0.2">
      <c r="A891" s="2">
        <v>45467</v>
      </c>
      <c r="B891">
        <v>36</v>
      </c>
      <c r="C891">
        <v>10</v>
      </c>
      <c r="D891">
        <v>64</v>
      </c>
      <c r="E891">
        <v>110</v>
      </c>
      <c r="F891">
        <v>79</v>
      </c>
      <c r="G891">
        <v>24.27</v>
      </c>
      <c r="H891">
        <v>2669.42</v>
      </c>
    </row>
    <row r="892" spans="1:8" x14ac:dyDescent="0.2">
      <c r="A892" s="2">
        <v>45468</v>
      </c>
      <c r="B892">
        <v>21</v>
      </c>
      <c r="C892">
        <v>10</v>
      </c>
      <c r="D892">
        <v>61</v>
      </c>
      <c r="E892">
        <v>92</v>
      </c>
      <c r="F892">
        <v>75</v>
      </c>
      <c r="G892">
        <v>23.05</v>
      </c>
      <c r="H892">
        <v>2120.67</v>
      </c>
    </row>
    <row r="893" spans="1:8" x14ac:dyDescent="0.2">
      <c r="A893" s="2">
        <v>45469</v>
      </c>
      <c r="B893">
        <v>58</v>
      </c>
      <c r="C893">
        <v>31</v>
      </c>
      <c r="D893">
        <v>33</v>
      </c>
      <c r="E893">
        <v>124</v>
      </c>
      <c r="F893">
        <v>81</v>
      </c>
      <c r="G893">
        <v>20.9</v>
      </c>
      <c r="H893">
        <v>2592.0700000000002</v>
      </c>
    </row>
    <row r="894" spans="1:8" x14ac:dyDescent="0.2">
      <c r="A894" s="2">
        <v>45470</v>
      </c>
      <c r="B894">
        <v>83</v>
      </c>
      <c r="C894">
        <v>34</v>
      </c>
      <c r="D894">
        <v>60</v>
      </c>
      <c r="E894">
        <v>177</v>
      </c>
      <c r="F894">
        <v>81</v>
      </c>
      <c r="G894">
        <v>19.73</v>
      </c>
      <c r="H894">
        <v>3491.83</v>
      </c>
    </row>
    <row r="895" spans="1:8" x14ac:dyDescent="0.2">
      <c r="A895" s="2">
        <v>45471</v>
      </c>
      <c r="B895">
        <v>140</v>
      </c>
      <c r="C895">
        <v>49</v>
      </c>
      <c r="D895">
        <v>47</v>
      </c>
      <c r="E895">
        <v>238</v>
      </c>
      <c r="F895">
        <v>86</v>
      </c>
      <c r="G895">
        <v>24.32</v>
      </c>
      <c r="H895">
        <v>5788</v>
      </c>
    </row>
    <row r="896" spans="1:8" x14ac:dyDescent="0.2">
      <c r="A896" s="2">
        <v>45472</v>
      </c>
      <c r="B896">
        <v>197</v>
      </c>
      <c r="C896">
        <v>43</v>
      </c>
      <c r="D896">
        <v>81</v>
      </c>
      <c r="E896">
        <v>325</v>
      </c>
      <c r="F896">
        <v>86</v>
      </c>
      <c r="G896">
        <v>25.19</v>
      </c>
      <c r="H896">
        <v>8185.3</v>
      </c>
    </row>
    <row r="897" spans="1:8" x14ac:dyDescent="0.2">
      <c r="A897" s="2">
        <v>45473</v>
      </c>
      <c r="B897">
        <v>53</v>
      </c>
      <c r="C897">
        <v>19</v>
      </c>
      <c r="D897">
        <v>53</v>
      </c>
      <c r="E897">
        <v>125</v>
      </c>
      <c r="F897">
        <v>81</v>
      </c>
      <c r="G897">
        <v>23.35</v>
      </c>
      <c r="H897">
        <v>2918.42</v>
      </c>
    </row>
    <row r="898" spans="1:8" x14ac:dyDescent="0.2">
      <c r="A898" s="2">
        <v>45474</v>
      </c>
      <c r="B898">
        <v>13</v>
      </c>
      <c r="C898">
        <v>29</v>
      </c>
      <c r="D898">
        <v>56</v>
      </c>
      <c r="E898">
        <v>98</v>
      </c>
      <c r="F898">
        <v>80</v>
      </c>
      <c r="G898">
        <v>20.66</v>
      </c>
      <c r="H898">
        <v>2024.25</v>
      </c>
    </row>
    <row r="899" spans="1:8" x14ac:dyDescent="0.2">
      <c r="A899" s="2">
        <v>45475</v>
      </c>
      <c r="B899">
        <v>55</v>
      </c>
      <c r="C899">
        <v>4</v>
      </c>
      <c r="D899">
        <v>64</v>
      </c>
      <c r="E899">
        <v>123</v>
      </c>
      <c r="F899">
        <v>79</v>
      </c>
      <c r="G899">
        <v>16.86</v>
      </c>
      <c r="H899">
        <v>2073.58</v>
      </c>
    </row>
    <row r="900" spans="1:8" x14ac:dyDescent="0.2">
      <c r="A900" s="2">
        <v>45476</v>
      </c>
      <c r="B900">
        <v>34</v>
      </c>
      <c r="C900">
        <v>17</v>
      </c>
      <c r="D900">
        <v>50</v>
      </c>
      <c r="E900">
        <v>101</v>
      </c>
      <c r="F900">
        <v>93</v>
      </c>
      <c r="G900">
        <v>24.53</v>
      </c>
      <c r="H900">
        <v>2477.9</v>
      </c>
    </row>
    <row r="901" spans="1:8" x14ac:dyDescent="0.2">
      <c r="A901" s="2">
        <v>45477</v>
      </c>
      <c r="B901">
        <v>56</v>
      </c>
      <c r="C901">
        <v>25</v>
      </c>
      <c r="D901">
        <v>56</v>
      </c>
      <c r="E901">
        <v>139</v>
      </c>
      <c r="F901">
        <v>87</v>
      </c>
      <c r="G901">
        <v>28.52</v>
      </c>
      <c r="H901">
        <v>3964.41</v>
      </c>
    </row>
    <row r="902" spans="1:8" x14ac:dyDescent="0.2">
      <c r="A902" s="2">
        <v>45478</v>
      </c>
      <c r="B902">
        <v>82</v>
      </c>
      <c r="C902">
        <v>23</v>
      </c>
      <c r="D902">
        <v>84</v>
      </c>
      <c r="E902">
        <v>189</v>
      </c>
      <c r="F902">
        <v>84</v>
      </c>
      <c r="G902">
        <v>25.54</v>
      </c>
      <c r="H902">
        <v>4826.17</v>
      </c>
    </row>
    <row r="903" spans="1:8" x14ac:dyDescent="0.2">
      <c r="A903" s="2">
        <v>45479</v>
      </c>
      <c r="B903">
        <v>204</v>
      </c>
      <c r="C903">
        <v>36</v>
      </c>
      <c r="D903">
        <v>84</v>
      </c>
      <c r="E903">
        <v>324</v>
      </c>
      <c r="F903">
        <v>85</v>
      </c>
      <c r="G903">
        <v>25.33</v>
      </c>
      <c r="H903">
        <v>8207.9699999999993</v>
      </c>
    </row>
    <row r="904" spans="1:8" x14ac:dyDescent="0.2">
      <c r="A904" s="2">
        <v>45480</v>
      </c>
      <c r="B904">
        <v>56</v>
      </c>
      <c r="C904">
        <v>22</v>
      </c>
      <c r="D904">
        <v>46</v>
      </c>
      <c r="E904">
        <v>127</v>
      </c>
      <c r="F904">
        <v>88</v>
      </c>
      <c r="G904">
        <v>16.829999999999998</v>
      </c>
      <c r="H904">
        <v>2137.6</v>
      </c>
    </row>
    <row r="905" spans="1:8" x14ac:dyDescent="0.2">
      <c r="A905" s="2">
        <v>45481</v>
      </c>
      <c r="B905">
        <v>32</v>
      </c>
      <c r="C905">
        <v>23</v>
      </c>
      <c r="D905">
        <v>65</v>
      </c>
      <c r="E905">
        <v>120</v>
      </c>
      <c r="F905">
        <v>85</v>
      </c>
      <c r="G905">
        <v>24.04</v>
      </c>
      <c r="H905">
        <v>2884.94</v>
      </c>
    </row>
    <row r="906" spans="1:8" x14ac:dyDescent="0.2">
      <c r="A906" s="2">
        <v>45482</v>
      </c>
      <c r="B906">
        <v>66</v>
      </c>
      <c r="C906">
        <v>8</v>
      </c>
      <c r="D906">
        <v>76</v>
      </c>
      <c r="E906">
        <v>150</v>
      </c>
      <c r="F906">
        <v>83</v>
      </c>
      <c r="G906">
        <v>19</v>
      </c>
      <c r="H906">
        <v>2849.98</v>
      </c>
    </row>
    <row r="907" spans="1:8" x14ac:dyDescent="0.2">
      <c r="A907" s="2">
        <v>45483</v>
      </c>
      <c r="B907">
        <v>34</v>
      </c>
      <c r="C907">
        <v>12</v>
      </c>
      <c r="D907">
        <v>59</v>
      </c>
      <c r="E907">
        <v>105</v>
      </c>
      <c r="F907">
        <v>86</v>
      </c>
      <c r="G907">
        <v>12.73</v>
      </c>
      <c r="H907">
        <v>1336.42</v>
      </c>
    </row>
    <row r="908" spans="1:8" x14ac:dyDescent="0.2">
      <c r="A908" s="2">
        <v>45484</v>
      </c>
      <c r="B908">
        <v>65</v>
      </c>
      <c r="C908">
        <v>20</v>
      </c>
      <c r="D908">
        <v>70</v>
      </c>
      <c r="E908">
        <v>155</v>
      </c>
      <c r="F908">
        <v>96</v>
      </c>
      <c r="G908">
        <v>27.76</v>
      </c>
      <c r="H908">
        <v>4302.58</v>
      </c>
    </row>
    <row r="909" spans="1:8" x14ac:dyDescent="0.2">
      <c r="A909" s="2">
        <v>45485</v>
      </c>
      <c r="B909">
        <v>108</v>
      </c>
      <c r="C909">
        <v>54</v>
      </c>
      <c r="D909">
        <v>64</v>
      </c>
      <c r="E909">
        <v>226</v>
      </c>
      <c r="F909">
        <v>86</v>
      </c>
      <c r="G909">
        <v>26.37</v>
      </c>
      <c r="H909">
        <v>5959.79</v>
      </c>
    </row>
    <row r="910" spans="1:8" x14ac:dyDescent="0.2">
      <c r="A910" s="2">
        <v>45486</v>
      </c>
      <c r="B910">
        <v>209</v>
      </c>
      <c r="C910">
        <v>37</v>
      </c>
      <c r="D910">
        <v>106</v>
      </c>
      <c r="E910">
        <v>355</v>
      </c>
      <c r="F910">
        <v>84</v>
      </c>
      <c r="G910">
        <v>26.49</v>
      </c>
      <c r="H910">
        <v>9402.27</v>
      </c>
    </row>
    <row r="911" spans="1:8" x14ac:dyDescent="0.2">
      <c r="A911" s="2">
        <v>45487</v>
      </c>
      <c r="B911">
        <v>34</v>
      </c>
      <c r="C911">
        <v>19</v>
      </c>
      <c r="D911">
        <v>37</v>
      </c>
      <c r="E911">
        <v>90</v>
      </c>
      <c r="F911">
        <v>69</v>
      </c>
      <c r="G911">
        <v>23.57</v>
      </c>
      <c r="H911">
        <v>2120.96</v>
      </c>
    </row>
    <row r="912" spans="1:8" x14ac:dyDescent="0.2">
      <c r="A912" s="2">
        <v>45488</v>
      </c>
      <c r="B912">
        <v>30</v>
      </c>
      <c r="C912">
        <v>23</v>
      </c>
      <c r="D912">
        <v>53</v>
      </c>
      <c r="E912">
        <v>106</v>
      </c>
      <c r="F912">
        <v>80</v>
      </c>
      <c r="G912">
        <v>23.12</v>
      </c>
      <c r="H912">
        <v>2450.23</v>
      </c>
    </row>
    <row r="913" spans="1:8" x14ac:dyDescent="0.2">
      <c r="A913" s="2">
        <v>45489</v>
      </c>
      <c r="B913">
        <v>30</v>
      </c>
      <c r="C913">
        <v>45</v>
      </c>
      <c r="D913">
        <v>113</v>
      </c>
      <c r="E913">
        <v>188</v>
      </c>
      <c r="F913">
        <v>84</v>
      </c>
      <c r="G913">
        <v>24.39</v>
      </c>
      <c r="H913">
        <v>4584.51</v>
      </c>
    </row>
    <row r="914" spans="1:8" x14ac:dyDescent="0.2">
      <c r="A914" s="2">
        <v>45490</v>
      </c>
      <c r="B914">
        <v>57</v>
      </c>
      <c r="C914">
        <v>23</v>
      </c>
      <c r="D914">
        <v>91</v>
      </c>
      <c r="E914">
        <v>171</v>
      </c>
      <c r="F914">
        <v>86</v>
      </c>
      <c r="G914">
        <v>22.79</v>
      </c>
      <c r="H914">
        <v>3897.9</v>
      </c>
    </row>
    <row r="915" spans="1:8" x14ac:dyDescent="0.2">
      <c r="A915" s="2">
        <v>45491</v>
      </c>
      <c r="B915">
        <v>52</v>
      </c>
      <c r="C915">
        <v>32</v>
      </c>
      <c r="D915">
        <v>81</v>
      </c>
      <c r="E915">
        <v>165</v>
      </c>
      <c r="F915">
        <v>85</v>
      </c>
      <c r="G915">
        <v>18.29</v>
      </c>
      <c r="H915">
        <v>3018.54</v>
      </c>
    </row>
    <row r="916" spans="1:8" x14ac:dyDescent="0.2">
      <c r="A916" s="2">
        <v>45492</v>
      </c>
      <c r="B916">
        <v>93</v>
      </c>
      <c r="C916">
        <v>43</v>
      </c>
      <c r="D916">
        <v>71</v>
      </c>
      <c r="E916">
        <v>207</v>
      </c>
      <c r="F916">
        <v>83</v>
      </c>
      <c r="G916">
        <v>23.87</v>
      </c>
      <c r="H916">
        <v>4942.05</v>
      </c>
    </row>
    <row r="917" spans="1:8" x14ac:dyDescent="0.2">
      <c r="A917" s="2">
        <v>45493</v>
      </c>
      <c r="B917">
        <v>243</v>
      </c>
      <c r="C917">
        <v>44</v>
      </c>
      <c r="D917">
        <v>67</v>
      </c>
      <c r="E917">
        <v>354</v>
      </c>
      <c r="F917">
        <v>85</v>
      </c>
      <c r="G917">
        <v>24.83</v>
      </c>
      <c r="H917">
        <v>8788.35</v>
      </c>
    </row>
    <row r="918" spans="1:8" x14ac:dyDescent="0.2">
      <c r="A918" s="2">
        <v>45494</v>
      </c>
      <c r="B918">
        <v>54</v>
      </c>
      <c r="C918">
        <v>31</v>
      </c>
      <c r="D918">
        <v>98</v>
      </c>
      <c r="E918">
        <v>183</v>
      </c>
      <c r="F918">
        <v>83</v>
      </c>
      <c r="G918">
        <v>24.23</v>
      </c>
      <c r="H918">
        <v>4433.41</v>
      </c>
    </row>
    <row r="919" spans="1:8" x14ac:dyDescent="0.2">
      <c r="A919" s="2">
        <v>45495</v>
      </c>
      <c r="B919">
        <v>46</v>
      </c>
      <c r="C919">
        <v>30</v>
      </c>
      <c r="D919">
        <v>68</v>
      </c>
      <c r="E919">
        <v>144</v>
      </c>
      <c r="F919">
        <v>80</v>
      </c>
      <c r="G919">
        <v>23.76</v>
      </c>
      <c r="H919">
        <v>3421.88</v>
      </c>
    </row>
    <row r="920" spans="1:8" x14ac:dyDescent="0.2">
      <c r="A920" s="2">
        <v>45496</v>
      </c>
      <c r="B920">
        <v>98</v>
      </c>
      <c r="C920">
        <v>16</v>
      </c>
      <c r="D920">
        <v>93</v>
      </c>
      <c r="E920">
        <v>207</v>
      </c>
      <c r="F920">
        <v>80</v>
      </c>
      <c r="G920">
        <v>19.39</v>
      </c>
      <c r="H920">
        <v>4014.61</v>
      </c>
    </row>
    <row r="921" spans="1:8" x14ac:dyDescent="0.2">
      <c r="A921" s="2">
        <v>45497</v>
      </c>
      <c r="B921">
        <v>61</v>
      </c>
      <c r="C921">
        <v>40</v>
      </c>
      <c r="D921">
        <v>76</v>
      </c>
      <c r="E921">
        <v>177</v>
      </c>
      <c r="F921">
        <v>83</v>
      </c>
      <c r="G921">
        <v>24.25</v>
      </c>
      <c r="H921">
        <v>4292.29</v>
      </c>
    </row>
    <row r="922" spans="1:8" x14ac:dyDescent="0.2">
      <c r="A922" s="2">
        <v>45498</v>
      </c>
      <c r="B922">
        <v>70</v>
      </c>
      <c r="C922">
        <v>28</v>
      </c>
      <c r="D922">
        <v>64</v>
      </c>
      <c r="E922">
        <v>162</v>
      </c>
      <c r="F922">
        <v>87</v>
      </c>
      <c r="G922">
        <v>34.090000000000003</v>
      </c>
      <c r="H922">
        <v>5523.28</v>
      </c>
    </row>
    <row r="923" spans="1:8" x14ac:dyDescent="0.2">
      <c r="A923" s="2">
        <v>45499</v>
      </c>
      <c r="B923">
        <v>129</v>
      </c>
      <c r="C923">
        <v>41</v>
      </c>
      <c r="D923">
        <v>69</v>
      </c>
      <c r="E923">
        <v>239</v>
      </c>
      <c r="F923">
        <v>89</v>
      </c>
      <c r="G923">
        <v>26.06</v>
      </c>
      <c r="H923">
        <v>6227.29</v>
      </c>
    </row>
    <row r="924" spans="1:8" x14ac:dyDescent="0.2">
      <c r="A924" s="2">
        <v>45500</v>
      </c>
      <c r="B924">
        <v>265</v>
      </c>
      <c r="C924">
        <v>44</v>
      </c>
      <c r="D924">
        <v>77</v>
      </c>
      <c r="E924">
        <v>386</v>
      </c>
      <c r="F924">
        <v>85</v>
      </c>
      <c r="G924">
        <v>23.96</v>
      </c>
      <c r="H924">
        <v>9247.61</v>
      </c>
    </row>
    <row r="925" spans="1:8" x14ac:dyDescent="0.2">
      <c r="A925" s="2">
        <v>45501</v>
      </c>
      <c r="B925">
        <v>56</v>
      </c>
      <c r="C925">
        <v>62</v>
      </c>
      <c r="D925">
        <v>69</v>
      </c>
      <c r="E925">
        <v>187</v>
      </c>
      <c r="F925">
        <v>84</v>
      </c>
      <c r="G925">
        <v>25.03</v>
      </c>
      <c r="H925">
        <v>4681.46</v>
      </c>
    </row>
    <row r="926" spans="1:8" x14ac:dyDescent="0.2">
      <c r="A926" s="2">
        <v>45502</v>
      </c>
      <c r="B926">
        <v>118</v>
      </c>
      <c r="C926">
        <v>27</v>
      </c>
      <c r="D926">
        <v>59</v>
      </c>
      <c r="E926">
        <v>204</v>
      </c>
      <c r="F926">
        <v>87</v>
      </c>
      <c r="G926">
        <v>22.59</v>
      </c>
      <c r="H926">
        <v>4609.33</v>
      </c>
    </row>
    <row r="927" spans="1:8" x14ac:dyDescent="0.2">
      <c r="A927" s="2">
        <v>45503</v>
      </c>
      <c r="B927">
        <v>102</v>
      </c>
      <c r="C927">
        <v>50</v>
      </c>
      <c r="D927">
        <v>77</v>
      </c>
      <c r="E927">
        <v>229</v>
      </c>
      <c r="F927">
        <v>81</v>
      </c>
      <c r="G927">
        <v>19.87</v>
      </c>
      <c r="H927">
        <v>4549.99</v>
      </c>
    </row>
    <row r="928" spans="1:8" x14ac:dyDescent="0.2">
      <c r="A928" s="2">
        <v>45504</v>
      </c>
      <c r="B928">
        <v>224</v>
      </c>
      <c r="C928">
        <v>24</v>
      </c>
      <c r="D928">
        <v>57</v>
      </c>
      <c r="E928">
        <v>305</v>
      </c>
      <c r="F928">
        <v>96</v>
      </c>
      <c r="G928">
        <v>22.32</v>
      </c>
      <c r="H928">
        <v>6808.2</v>
      </c>
    </row>
    <row r="929" spans="1:8" x14ac:dyDescent="0.2">
      <c r="A929" s="2">
        <v>45505</v>
      </c>
      <c r="B929">
        <v>155</v>
      </c>
      <c r="C929">
        <v>39</v>
      </c>
      <c r="D929">
        <v>74</v>
      </c>
      <c r="E929">
        <v>270</v>
      </c>
      <c r="F929">
        <v>92</v>
      </c>
      <c r="G929">
        <v>19.89</v>
      </c>
      <c r="H929">
        <v>5370.99</v>
      </c>
    </row>
    <row r="930" spans="1:8" x14ac:dyDescent="0.2">
      <c r="A930" s="2">
        <v>45506</v>
      </c>
      <c r="B930">
        <v>142</v>
      </c>
      <c r="C930">
        <v>39</v>
      </c>
      <c r="D930">
        <v>74</v>
      </c>
      <c r="E930">
        <v>255</v>
      </c>
      <c r="F930">
        <v>86</v>
      </c>
      <c r="G930">
        <v>23.81</v>
      </c>
      <c r="H930">
        <v>6072.18</v>
      </c>
    </row>
    <row r="931" spans="1:8" x14ac:dyDescent="0.2">
      <c r="A931" s="2">
        <v>45507</v>
      </c>
      <c r="B931">
        <v>192</v>
      </c>
      <c r="C931">
        <v>27</v>
      </c>
      <c r="D931">
        <v>87</v>
      </c>
      <c r="E931">
        <v>308</v>
      </c>
      <c r="F931">
        <v>81</v>
      </c>
      <c r="G931">
        <v>28.98</v>
      </c>
      <c r="H931">
        <v>8926.7199999999993</v>
      </c>
    </row>
    <row r="932" spans="1:8" x14ac:dyDescent="0.2">
      <c r="A932" s="2">
        <v>45508</v>
      </c>
      <c r="B932">
        <v>38</v>
      </c>
      <c r="C932">
        <v>57</v>
      </c>
      <c r="D932">
        <v>66</v>
      </c>
      <c r="E932">
        <v>161</v>
      </c>
      <c r="F932">
        <v>85</v>
      </c>
      <c r="G932">
        <v>24.98</v>
      </c>
      <c r="H932">
        <v>4022.42</v>
      </c>
    </row>
    <row r="933" spans="1:8" x14ac:dyDescent="0.2">
      <c r="A933" s="2">
        <v>45509</v>
      </c>
      <c r="B933">
        <v>27</v>
      </c>
      <c r="C933">
        <v>14</v>
      </c>
      <c r="D933">
        <v>81</v>
      </c>
      <c r="E933">
        <v>122</v>
      </c>
      <c r="F933">
        <v>76</v>
      </c>
      <c r="G933">
        <v>27.43</v>
      </c>
      <c r="H933">
        <v>3346.15</v>
      </c>
    </row>
    <row r="934" spans="1:8" x14ac:dyDescent="0.2">
      <c r="A934" s="2">
        <v>45510</v>
      </c>
      <c r="B934">
        <v>66</v>
      </c>
      <c r="C934">
        <v>25</v>
      </c>
      <c r="D934">
        <v>78</v>
      </c>
      <c r="E934">
        <v>171</v>
      </c>
      <c r="F934">
        <v>86</v>
      </c>
      <c r="G934">
        <v>22.44</v>
      </c>
      <c r="H934">
        <v>3836.67</v>
      </c>
    </row>
    <row r="935" spans="1:8" x14ac:dyDescent="0.2">
      <c r="A935" s="2">
        <v>45511</v>
      </c>
      <c r="B935">
        <v>50</v>
      </c>
      <c r="C935">
        <v>14</v>
      </c>
      <c r="D935">
        <v>93</v>
      </c>
      <c r="E935">
        <v>159</v>
      </c>
      <c r="F935">
        <v>91</v>
      </c>
      <c r="G935">
        <v>27.87</v>
      </c>
      <c r="H935">
        <v>4431.6400000000003</v>
      </c>
    </row>
    <row r="936" spans="1:8" x14ac:dyDescent="0.2">
      <c r="A936" s="2">
        <v>45512</v>
      </c>
      <c r="B936">
        <v>45</v>
      </c>
      <c r="C936">
        <v>20</v>
      </c>
      <c r="D936">
        <v>89</v>
      </c>
      <c r="E936">
        <v>154</v>
      </c>
      <c r="F936">
        <v>83</v>
      </c>
      <c r="G936">
        <v>25.32</v>
      </c>
      <c r="H936">
        <v>3898.81</v>
      </c>
    </row>
    <row r="937" spans="1:8" x14ac:dyDescent="0.2">
      <c r="A937" s="2">
        <v>45513</v>
      </c>
      <c r="B937">
        <v>114</v>
      </c>
      <c r="C937">
        <v>27</v>
      </c>
      <c r="D937">
        <v>115</v>
      </c>
      <c r="E937">
        <v>256</v>
      </c>
      <c r="F937">
        <v>84</v>
      </c>
      <c r="G937">
        <v>22.66</v>
      </c>
      <c r="H937">
        <v>5800.68</v>
      </c>
    </row>
    <row r="938" spans="1:8" x14ac:dyDescent="0.2">
      <c r="A938" s="2">
        <v>45514</v>
      </c>
      <c r="B938">
        <v>173</v>
      </c>
      <c r="C938">
        <v>44</v>
      </c>
      <c r="D938">
        <v>145</v>
      </c>
      <c r="E938">
        <v>362</v>
      </c>
      <c r="F938">
        <v>82</v>
      </c>
      <c r="G938">
        <v>27.05</v>
      </c>
      <c r="H938">
        <v>9792.1</v>
      </c>
    </row>
    <row r="939" spans="1:8" x14ac:dyDescent="0.2">
      <c r="A939" s="2">
        <v>45515</v>
      </c>
      <c r="B939">
        <v>50</v>
      </c>
      <c r="C939">
        <v>20</v>
      </c>
      <c r="D939">
        <v>90</v>
      </c>
      <c r="E939">
        <v>160</v>
      </c>
      <c r="F939">
        <v>83</v>
      </c>
      <c r="G939">
        <v>28.87</v>
      </c>
      <c r="H939">
        <v>4619.6400000000003</v>
      </c>
    </row>
    <row r="940" spans="1:8" x14ac:dyDescent="0.2">
      <c r="A940" s="2">
        <v>45516</v>
      </c>
      <c r="B940">
        <v>34</v>
      </c>
      <c r="C940">
        <v>31</v>
      </c>
      <c r="D940">
        <v>85</v>
      </c>
      <c r="E940">
        <v>153</v>
      </c>
      <c r="F940">
        <v>76</v>
      </c>
      <c r="G940">
        <v>26.22</v>
      </c>
      <c r="H940">
        <v>4011.06</v>
      </c>
    </row>
    <row r="941" spans="1:8" x14ac:dyDescent="0.2">
      <c r="A941" s="2">
        <v>45517</v>
      </c>
      <c r="B941">
        <v>37</v>
      </c>
      <c r="C941">
        <v>18</v>
      </c>
      <c r="D941">
        <v>67</v>
      </c>
      <c r="E941">
        <v>122</v>
      </c>
      <c r="F941">
        <v>80</v>
      </c>
      <c r="G941">
        <v>21.98</v>
      </c>
      <c r="H941">
        <v>2682.02</v>
      </c>
    </row>
    <row r="942" spans="1:8" x14ac:dyDescent="0.2">
      <c r="A942" s="2">
        <v>45518</v>
      </c>
      <c r="B942">
        <v>62</v>
      </c>
      <c r="C942">
        <v>31</v>
      </c>
      <c r="D942">
        <v>81</v>
      </c>
      <c r="E942">
        <v>174</v>
      </c>
      <c r="F942">
        <v>88</v>
      </c>
      <c r="G942">
        <v>20.010000000000002</v>
      </c>
      <c r="H942">
        <v>3482.23</v>
      </c>
    </row>
    <row r="943" spans="1:8" x14ac:dyDescent="0.2">
      <c r="A943" s="2">
        <v>45519</v>
      </c>
      <c r="B943">
        <v>82</v>
      </c>
      <c r="C943">
        <v>33</v>
      </c>
      <c r="D943">
        <v>83</v>
      </c>
      <c r="E943">
        <v>198</v>
      </c>
      <c r="F943">
        <v>89</v>
      </c>
      <c r="G943">
        <v>22.32</v>
      </c>
      <c r="H943">
        <v>4419.79</v>
      </c>
    </row>
    <row r="944" spans="1:8" x14ac:dyDescent="0.2">
      <c r="A944" s="2">
        <v>45520</v>
      </c>
      <c r="B944">
        <v>105</v>
      </c>
      <c r="C944">
        <v>49</v>
      </c>
      <c r="D944">
        <v>85</v>
      </c>
      <c r="E944">
        <v>239</v>
      </c>
      <c r="F944">
        <v>85</v>
      </c>
      <c r="G944">
        <v>24.47</v>
      </c>
      <c r="H944">
        <v>5847.41</v>
      </c>
    </row>
    <row r="945" spans="1:8" x14ac:dyDescent="0.2">
      <c r="A945" s="2">
        <v>45521</v>
      </c>
      <c r="B945">
        <v>167</v>
      </c>
      <c r="C945">
        <v>44</v>
      </c>
      <c r="D945">
        <v>92</v>
      </c>
      <c r="E945">
        <v>303</v>
      </c>
      <c r="F945">
        <v>88</v>
      </c>
      <c r="G945">
        <v>24.32</v>
      </c>
      <c r="H945">
        <v>7369.32</v>
      </c>
    </row>
    <row r="946" spans="1:8" x14ac:dyDescent="0.2">
      <c r="A946" s="2">
        <v>45522</v>
      </c>
      <c r="B946">
        <v>57</v>
      </c>
      <c r="C946">
        <v>57</v>
      </c>
      <c r="D946">
        <v>59</v>
      </c>
      <c r="E946">
        <v>173</v>
      </c>
      <c r="F946">
        <v>83</v>
      </c>
      <c r="G946">
        <v>20.72</v>
      </c>
      <c r="H946">
        <v>3584.03</v>
      </c>
    </row>
    <row r="947" spans="1:8" x14ac:dyDescent="0.2">
      <c r="A947" s="2">
        <v>45523</v>
      </c>
      <c r="B947">
        <v>25</v>
      </c>
      <c r="C947">
        <v>30</v>
      </c>
      <c r="D947">
        <v>67</v>
      </c>
      <c r="E947">
        <v>126</v>
      </c>
      <c r="F947">
        <v>85</v>
      </c>
      <c r="G947">
        <v>19.27</v>
      </c>
      <c r="H947">
        <v>2428.6</v>
      </c>
    </row>
    <row r="948" spans="1:8" x14ac:dyDescent="0.2">
      <c r="A948" s="2">
        <v>45524</v>
      </c>
      <c r="B948">
        <v>37</v>
      </c>
      <c r="C948">
        <v>45</v>
      </c>
      <c r="D948">
        <v>67</v>
      </c>
      <c r="E948">
        <v>149</v>
      </c>
      <c r="F948">
        <v>81</v>
      </c>
      <c r="G948">
        <v>26.23</v>
      </c>
      <c r="H948">
        <v>3908.76</v>
      </c>
    </row>
    <row r="949" spans="1:8" x14ac:dyDescent="0.2">
      <c r="A949" s="2">
        <v>45525</v>
      </c>
      <c r="B949">
        <v>67</v>
      </c>
      <c r="C949">
        <v>49</v>
      </c>
      <c r="D949">
        <v>58</v>
      </c>
      <c r="E949">
        <v>174</v>
      </c>
      <c r="F949">
        <v>92</v>
      </c>
      <c r="G949">
        <v>25.66</v>
      </c>
      <c r="H949">
        <v>4465.3999999999996</v>
      </c>
    </row>
    <row r="950" spans="1:8" x14ac:dyDescent="0.2">
      <c r="A950" s="2">
        <v>45526</v>
      </c>
      <c r="B950">
        <v>90</v>
      </c>
      <c r="C950">
        <v>33</v>
      </c>
      <c r="D950">
        <v>43</v>
      </c>
      <c r="E950">
        <v>166</v>
      </c>
      <c r="F950">
        <v>89</v>
      </c>
      <c r="G950">
        <v>23.13</v>
      </c>
      <c r="H950">
        <v>3840.07</v>
      </c>
    </row>
    <row r="951" spans="1:8" x14ac:dyDescent="0.2">
      <c r="A951" s="2">
        <v>45527</v>
      </c>
      <c r="B951">
        <v>116</v>
      </c>
      <c r="C951">
        <v>29</v>
      </c>
      <c r="D951">
        <v>83</v>
      </c>
      <c r="E951">
        <v>228</v>
      </c>
      <c r="F951">
        <v>83</v>
      </c>
      <c r="G951">
        <v>28.65</v>
      </c>
      <c r="H951">
        <v>6532.95</v>
      </c>
    </row>
    <row r="952" spans="1:8" x14ac:dyDescent="0.2">
      <c r="A952" s="2">
        <v>45528</v>
      </c>
      <c r="B952">
        <v>167</v>
      </c>
      <c r="C952">
        <v>52</v>
      </c>
      <c r="D952">
        <v>79</v>
      </c>
      <c r="E952">
        <v>298</v>
      </c>
      <c r="F952">
        <v>84</v>
      </c>
      <c r="G952">
        <v>29.29</v>
      </c>
      <c r="H952">
        <v>8728.2900000000009</v>
      </c>
    </row>
    <row r="953" spans="1:8" x14ac:dyDescent="0.2">
      <c r="A953" s="2">
        <v>45529</v>
      </c>
      <c r="B953">
        <v>112</v>
      </c>
      <c r="C953">
        <v>43</v>
      </c>
      <c r="D953">
        <v>123</v>
      </c>
      <c r="E953">
        <v>278</v>
      </c>
      <c r="F953">
        <v>79</v>
      </c>
      <c r="G953">
        <v>24.14</v>
      </c>
      <c r="H953">
        <v>6711.46</v>
      </c>
    </row>
    <row r="954" spans="1:8" x14ac:dyDescent="0.2">
      <c r="A954" s="2">
        <v>45530</v>
      </c>
      <c r="B954">
        <v>22</v>
      </c>
      <c r="C954">
        <v>20</v>
      </c>
      <c r="D954">
        <v>101</v>
      </c>
      <c r="E954">
        <v>147</v>
      </c>
      <c r="F954">
        <v>77</v>
      </c>
      <c r="G954">
        <v>15.92</v>
      </c>
      <c r="H954">
        <v>2340.12</v>
      </c>
    </row>
    <row r="955" spans="1:8" x14ac:dyDescent="0.2">
      <c r="A955" s="2">
        <v>45531</v>
      </c>
      <c r="B955">
        <v>46</v>
      </c>
      <c r="C955">
        <v>26</v>
      </c>
      <c r="D955">
        <v>73</v>
      </c>
      <c r="E955">
        <v>148</v>
      </c>
      <c r="F955">
        <v>75</v>
      </c>
      <c r="G955">
        <v>16.66</v>
      </c>
      <c r="H955">
        <v>2465.02</v>
      </c>
    </row>
    <row r="956" spans="1:8" x14ac:dyDescent="0.2">
      <c r="A956" s="2">
        <v>45532</v>
      </c>
      <c r="B956">
        <v>52</v>
      </c>
      <c r="C956">
        <v>20</v>
      </c>
      <c r="D956">
        <v>88</v>
      </c>
      <c r="E956">
        <v>162</v>
      </c>
      <c r="F956">
        <v>84</v>
      </c>
      <c r="G956">
        <v>23.46</v>
      </c>
      <c r="H956">
        <v>3799.92</v>
      </c>
    </row>
    <row r="957" spans="1:8" x14ac:dyDescent="0.2">
      <c r="A957" s="2">
        <v>45533</v>
      </c>
      <c r="B957">
        <v>70</v>
      </c>
      <c r="C957">
        <v>35</v>
      </c>
      <c r="D957">
        <v>74</v>
      </c>
      <c r="E957">
        <v>179</v>
      </c>
      <c r="F957">
        <v>87</v>
      </c>
      <c r="G957">
        <v>23.98</v>
      </c>
      <c r="H957">
        <v>4292.92</v>
      </c>
    </row>
    <row r="958" spans="1:8" x14ac:dyDescent="0.2">
      <c r="A958" s="2">
        <v>45534</v>
      </c>
      <c r="B958">
        <v>68</v>
      </c>
      <c r="C958">
        <v>38</v>
      </c>
      <c r="D958">
        <v>68</v>
      </c>
      <c r="E958">
        <v>174</v>
      </c>
      <c r="F958">
        <v>81</v>
      </c>
      <c r="G958">
        <v>23.51</v>
      </c>
      <c r="H958">
        <v>4091.35</v>
      </c>
    </row>
    <row r="959" spans="1:8" x14ac:dyDescent="0.2">
      <c r="A959" s="2">
        <v>45535</v>
      </c>
      <c r="B959">
        <v>150</v>
      </c>
      <c r="C959">
        <v>38</v>
      </c>
      <c r="D959">
        <v>96</v>
      </c>
      <c r="E959">
        <v>284</v>
      </c>
      <c r="F959">
        <v>79</v>
      </c>
      <c r="G959">
        <v>30.66</v>
      </c>
      <c r="H959">
        <v>8708.6</v>
      </c>
    </row>
    <row r="960" spans="1:8" x14ac:dyDescent="0.2">
      <c r="A960" s="2">
        <v>45536</v>
      </c>
      <c r="B960">
        <v>68</v>
      </c>
      <c r="C960">
        <v>28</v>
      </c>
      <c r="D960">
        <v>68</v>
      </c>
      <c r="E960">
        <v>164</v>
      </c>
      <c r="F960">
        <v>86</v>
      </c>
      <c r="G960">
        <v>23.97</v>
      </c>
      <c r="H960">
        <v>3931.69</v>
      </c>
    </row>
    <row r="961" spans="1:8" x14ac:dyDescent="0.2">
      <c r="A961" s="2">
        <v>45537</v>
      </c>
      <c r="B961">
        <v>39</v>
      </c>
      <c r="C961">
        <v>19</v>
      </c>
      <c r="D961">
        <v>44</v>
      </c>
      <c r="E961">
        <v>102</v>
      </c>
      <c r="F961">
        <v>81</v>
      </c>
      <c r="G961">
        <v>18.89</v>
      </c>
      <c r="H961">
        <v>1926.52</v>
      </c>
    </row>
    <row r="962" spans="1:8" x14ac:dyDescent="0.2">
      <c r="A962" s="2">
        <v>45538</v>
      </c>
      <c r="B962">
        <v>22</v>
      </c>
      <c r="C962">
        <v>19</v>
      </c>
      <c r="D962">
        <v>62</v>
      </c>
      <c r="E962">
        <v>104</v>
      </c>
      <c r="F962">
        <v>79</v>
      </c>
      <c r="G962">
        <v>26.77</v>
      </c>
      <c r="H962">
        <v>2784.14</v>
      </c>
    </row>
    <row r="963" spans="1:8" x14ac:dyDescent="0.2">
      <c r="A963" s="2">
        <v>45539</v>
      </c>
      <c r="B963">
        <v>34</v>
      </c>
      <c r="C963">
        <v>12</v>
      </c>
      <c r="D963">
        <v>41</v>
      </c>
      <c r="E963">
        <v>89</v>
      </c>
      <c r="F963">
        <v>86</v>
      </c>
      <c r="G963">
        <v>17.940000000000001</v>
      </c>
      <c r="H963">
        <v>1596.77</v>
      </c>
    </row>
    <row r="964" spans="1:8" x14ac:dyDescent="0.2">
      <c r="A964" s="2">
        <v>45540</v>
      </c>
      <c r="B964">
        <v>33</v>
      </c>
      <c r="C964">
        <v>25</v>
      </c>
      <c r="D964">
        <v>60</v>
      </c>
      <c r="E964">
        <v>118</v>
      </c>
      <c r="F964">
        <v>90</v>
      </c>
      <c r="G964">
        <v>23.66</v>
      </c>
      <c r="H964">
        <v>2791.91</v>
      </c>
    </row>
    <row r="965" spans="1:8" x14ac:dyDescent="0.2">
      <c r="A965" s="2">
        <v>45541</v>
      </c>
      <c r="B965">
        <v>105</v>
      </c>
      <c r="C965">
        <v>14</v>
      </c>
      <c r="D965">
        <v>60</v>
      </c>
      <c r="E965">
        <v>179</v>
      </c>
      <c r="F965">
        <v>88</v>
      </c>
      <c r="G965">
        <v>23.83</v>
      </c>
      <c r="H965">
        <v>4265.79</v>
      </c>
    </row>
    <row r="966" spans="1:8" x14ac:dyDescent="0.2">
      <c r="A966" s="2">
        <v>45542</v>
      </c>
      <c r="B966">
        <v>154</v>
      </c>
      <c r="C966">
        <v>55</v>
      </c>
      <c r="D966">
        <v>106</v>
      </c>
      <c r="E966">
        <v>315</v>
      </c>
      <c r="F966">
        <v>85</v>
      </c>
      <c r="G966">
        <v>28.75</v>
      </c>
      <c r="H966">
        <v>9055.7000000000007</v>
      </c>
    </row>
    <row r="967" spans="1:8" x14ac:dyDescent="0.2">
      <c r="A967" s="2">
        <v>45543</v>
      </c>
      <c r="B967">
        <v>57</v>
      </c>
      <c r="C967">
        <v>13</v>
      </c>
      <c r="D967">
        <v>65</v>
      </c>
      <c r="E967">
        <v>135</v>
      </c>
      <c r="F967">
        <v>86</v>
      </c>
      <c r="G967">
        <v>20.65</v>
      </c>
      <c r="H967">
        <v>2787.36</v>
      </c>
    </row>
    <row r="968" spans="1:8" x14ac:dyDescent="0.2">
      <c r="A968" s="2">
        <v>45544</v>
      </c>
      <c r="B968">
        <v>49</v>
      </c>
      <c r="C968">
        <v>17</v>
      </c>
      <c r="D968">
        <v>70</v>
      </c>
      <c r="E968">
        <v>138</v>
      </c>
      <c r="F968">
        <v>85</v>
      </c>
      <c r="G968">
        <v>25.84</v>
      </c>
      <c r="H968">
        <v>3565.9</v>
      </c>
    </row>
    <row r="969" spans="1:8" x14ac:dyDescent="0.2">
      <c r="A969" s="2">
        <v>45545</v>
      </c>
      <c r="B969">
        <v>38</v>
      </c>
      <c r="C969">
        <v>21</v>
      </c>
      <c r="D969">
        <v>78</v>
      </c>
      <c r="E969">
        <v>137</v>
      </c>
      <c r="F969">
        <v>86</v>
      </c>
      <c r="G969">
        <v>24.38</v>
      </c>
      <c r="H969">
        <v>3340.24</v>
      </c>
    </row>
    <row r="970" spans="1:8" x14ac:dyDescent="0.2">
      <c r="A970" s="2">
        <v>45546</v>
      </c>
      <c r="B970">
        <v>46</v>
      </c>
      <c r="C970">
        <v>14</v>
      </c>
      <c r="D970">
        <v>40</v>
      </c>
      <c r="E970">
        <v>100</v>
      </c>
      <c r="F970">
        <v>92</v>
      </c>
      <c r="G970">
        <v>32.020000000000003</v>
      </c>
      <c r="H970">
        <v>3201.9</v>
      </c>
    </row>
    <row r="971" spans="1:8" x14ac:dyDescent="0.2">
      <c r="A971" s="2">
        <v>45547</v>
      </c>
      <c r="B971">
        <v>21</v>
      </c>
      <c r="C971">
        <v>14</v>
      </c>
      <c r="D971">
        <v>70</v>
      </c>
      <c r="E971">
        <v>105</v>
      </c>
      <c r="F971">
        <v>84</v>
      </c>
      <c r="G971">
        <v>26.66</v>
      </c>
      <c r="H971">
        <v>2798.93</v>
      </c>
    </row>
    <row r="972" spans="1:8" x14ac:dyDescent="0.2">
      <c r="A972" s="2">
        <v>45548</v>
      </c>
      <c r="B972">
        <v>113</v>
      </c>
      <c r="C972">
        <v>34</v>
      </c>
      <c r="D972">
        <v>76</v>
      </c>
      <c r="E972">
        <v>225</v>
      </c>
      <c r="F972">
        <v>80</v>
      </c>
      <c r="G972">
        <v>27.09</v>
      </c>
      <c r="H972">
        <v>6095.07</v>
      </c>
    </row>
    <row r="973" spans="1:8" x14ac:dyDescent="0.2">
      <c r="A973" s="2">
        <v>45549</v>
      </c>
      <c r="B973">
        <v>193</v>
      </c>
      <c r="C973">
        <v>38</v>
      </c>
      <c r="D973">
        <v>83</v>
      </c>
      <c r="E973">
        <v>314</v>
      </c>
      <c r="F973">
        <v>90</v>
      </c>
      <c r="G973">
        <v>24.92</v>
      </c>
      <c r="H973">
        <v>7824.13</v>
      </c>
    </row>
    <row r="974" spans="1:8" x14ac:dyDescent="0.2">
      <c r="A974" s="2">
        <v>45550</v>
      </c>
      <c r="B974">
        <v>59</v>
      </c>
      <c r="C974">
        <v>39</v>
      </c>
      <c r="D974">
        <v>54</v>
      </c>
      <c r="E974">
        <v>155</v>
      </c>
      <c r="F974">
        <v>82</v>
      </c>
      <c r="G974">
        <v>23.44</v>
      </c>
      <c r="H974">
        <v>3632.65</v>
      </c>
    </row>
    <row r="975" spans="1:8" x14ac:dyDescent="0.2">
      <c r="A975" s="2">
        <v>45551</v>
      </c>
      <c r="B975">
        <v>39</v>
      </c>
      <c r="C975">
        <v>11</v>
      </c>
      <c r="D975">
        <v>57</v>
      </c>
      <c r="E975">
        <v>107</v>
      </c>
      <c r="F975">
        <v>85</v>
      </c>
      <c r="G975">
        <v>25.68</v>
      </c>
      <c r="H975">
        <v>2748.25</v>
      </c>
    </row>
    <row r="976" spans="1:8" x14ac:dyDescent="0.2">
      <c r="A976" s="2">
        <v>45552</v>
      </c>
      <c r="B976">
        <v>48</v>
      </c>
      <c r="C976">
        <v>7</v>
      </c>
      <c r="D976">
        <v>66</v>
      </c>
      <c r="E976">
        <v>123</v>
      </c>
      <c r="F976">
        <v>77</v>
      </c>
      <c r="G976">
        <v>18.23</v>
      </c>
      <c r="H976">
        <v>2242.6999999999998</v>
      </c>
    </row>
    <row r="977" spans="1:8" x14ac:dyDescent="0.2">
      <c r="A977" s="2">
        <v>45553</v>
      </c>
      <c r="B977">
        <v>33</v>
      </c>
      <c r="C977">
        <v>26</v>
      </c>
      <c r="D977">
        <v>64</v>
      </c>
      <c r="E977">
        <v>125</v>
      </c>
      <c r="F977">
        <v>97</v>
      </c>
      <c r="G977">
        <v>25.06</v>
      </c>
      <c r="H977">
        <v>3132.98</v>
      </c>
    </row>
    <row r="978" spans="1:8" x14ac:dyDescent="0.2">
      <c r="A978" s="2">
        <v>45554</v>
      </c>
      <c r="B978">
        <v>40</v>
      </c>
      <c r="C978">
        <v>25</v>
      </c>
      <c r="D978">
        <v>51</v>
      </c>
      <c r="E978">
        <v>116</v>
      </c>
      <c r="F978">
        <v>83</v>
      </c>
      <c r="G978">
        <v>22.82</v>
      </c>
      <c r="H978">
        <v>2647.09</v>
      </c>
    </row>
    <row r="979" spans="1:8" x14ac:dyDescent="0.2">
      <c r="A979" s="2">
        <v>45555</v>
      </c>
      <c r="B979">
        <v>118</v>
      </c>
      <c r="C979">
        <v>41</v>
      </c>
      <c r="D979">
        <v>63</v>
      </c>
      <c r="E979">
        <v>222</v>
      </c>
      <c r="F979">
        <v>87</v>
      </c>
      <c r="G979">
        <v>29.75</v>
      </c>
      <c r="H979">
        <v>6604.26</v>
      </c>
    </row>
    <row r="980" spans="1:8" x14ac:dyDescent="0.2">
      <c r="A980" s="2">
        <v>45556</v>
      </c>
      <c r="B980">
        <v>200</v>
      </c>
      <c r="C980">
        <v>49</v>
      </c>
      <c r="D980">
        <v>95</v>
      </c>
      <c r="E980">
        <v>348</v>
      </c>
      <c r="F980">
        <v>84</v>
      </c>
      <c r="G980">
        <v>26.1</v>
      </c>
      <c r="H980">
        <v>9081.4599999999991</v>
      </c>
    </row>
    <row r="981" spans="1:8" x14ac:dyDescent="0.2">
      <c r="A981" s="2">
        <v>45557</v>
      </c>
      <c r="B981">
        <v>34</v>
      </c>
      <c r="C981">
        <v>13</v>
      </c>
      <c r="D981">
        <v>57</v>
      </c>
      <c r="E981">
        <v>104</v>
      </c>
      <c r="F981">
        <v>82</v>
      </c>
      <c r="G981">
        <v>20.93</v>
      </c>
      <c r="H981">
        <v>2177.06</v>
      </c>
    </row>
    <row r="982" spans="1:8" x14ac:dyDescent="0.2">
      <c r="A982" s="2">
        <v>45558</v>
      </c>
      <c r="B982">
        <v>42</v>
      </c>
      <c r="C982">
        <v>19</v>
      </c>
      <c r="D982">
        <v>34</v>
      </c>
      <c r="E982">
        <v>95</v>
      </c>
      <c r="F982">
        <v>87</v>
      </c>
      <c r="G982">
        <v>9.27</v>
      </c>
      <c r="H982">
        <v>880.9</v>
      </c>
    </row>
    <row r="983" spans="1:8" x14ac:dyDescent="0.2">
      <c r="A983" s="2">
        <v>45559</v>
      </c>
      <c r="B983">
        <v>33</v>
      </c>
      <c r="C983">
        <v>24</v>
      </c>
      <c r="D983">
        <v>58</v>
      </c>
      <c r="E983">
        <v>115</v>
      </c>
      <c r="F983">
        <v>89</v>
      </c>
      <c r="G983">
        <v>24.63</v>
      </c>
      <c r="H983">
        <v>2832.1</v>
      </c>
    </row>
    <row r="984" spans="1:8" x14ac:dyDescent="0.2">
      <c r="A984" s="2">
        <v>45560</v>
      </c>
      <c r="B984">
        <v>29</v>
      </c>
      <c r="C984">
        <v>20</v>
      </c>
      <c r="D984">
        <v>44</v>
      </c>
      <c r="E984">
        <v>95</v>
      </c>
      <c r="F984">
        <v>95</v>
      </c>
      <c r="G984">
        <v>26.65</v>
      </c>
      <c r="H984">
        <v>2532.0100000000002</v>
      </c>
    </row>
    <row r="985" spans="1:8" x14ac:dyDescent="0.2">
      <c r="A985" s="2">
        <v>45561</v>
      </c>
      <c r="B985">
        <v>47</v>
      </c>
      <c r="C985">
        <v>16</v>
      </c>
      <c r="D985">
        <v>45</v>
      </c>
      <c r="E985">
        <v>108</v>
      </c>
      <c r="F985">
        <v>91</v>
      </c>
      <c r="G985">
        <v>24.77</v>
      </c>
      <c r="H985">
        <v>2675.23</v>
      </c>
    </row>
    <row r="986" spans="1:8" x14ac:dyDescent="0.2">
      <c r="A986" s="2">
        <v>45562</v>
      </c>
      <c r="B986">
        <v>134</v>
      </c>
      <c r="C986">
        <v>28</v>
      </c>
      <c r="D986">
        <v>54</v>
      </c>
      <c r="E986">
        <v>216</v>
      </c>
      <c r="F986">
        <v>87</v>
      </c>
      <c r="G986">
        <v>27.39</v>
      </c>
      <c r="H986">
        <v>5915.31</v>
      </c>
    </row>
    <row r="987" spans="1:8" x14ac:dyDescent="0.2">
      <c r="A987" s="2">
        <v>45563</v>
      </c>
      <c r="B987">
        <v>196</v>
      </c>
      <c r="C987">
        <v>63</v>
      </c>
      <c r="D987">
        <v>96</v>
      </c>
      <c r="E987">
        <v>355</v>
      </c>
      <c r="F987">
        <v>86</v>
      </c>
      <c r="G987">
        <v>28.87</v>
      </c>
      <c r="H987">
        <v>10249.49</v>
      </c>
    </row>
    <row r="988" spans="1:8" x14ac:dyDescent="0.2">
      <c r="A988" s="2">
        <v>45564</v>
      </c>
      <c r="B988">
        <v>36</v>
      </c>
      <c r="C988">
        <v>23</v>
      </c>
      <c r="D988">
        <v>57</v>
      </c>
      <c r="E988">
        <v>118</v>
      </c>
      <c r="F988">
        <v>87</v>
      </c>
      <c r="G988">
        <v>23.76</v>
      </c>
      <c r="H988">
        <v>2803.45</v>
      </c>
    </row>
    <row r="989" spans="1:8" x14ac:dyDescent="0.2">
      <c r="A989" s="2">
        <v>45565</v>
      </c>
      <c r="B989">
        <v>32</v>
      </c>
      <c r="C989">
        <v>22</v>
      </c>
      <c r="D989">
        <v>36</v>
      </c>
      <c r="E989">
        <v>90</v>
      </c>
      <c r="F989">
        <v>88</v>
      </c>
      <c r="G989">
        <v>15.86</v>
      </c>
      <c r="H989">
        <v>1427.55</v>
      </c>
    </row>
    <row r="990" spans="1:8" x14ac:dyDescent="0.2">
      <c r="A990" s="2">
        <v>45566</v>
      </c>
      <c r="B990">
        <v>52</v>
      </c>
      <c r="C990">
        <v>24</v>
      </c>
      <c r="D990">
        <v>58</v>
      </c>
      <c r="E990">
        <v>134</v>
      </c>
      <c r="F990">
        <v>87</v>
      </c>
      <c r="G990">
        <v>19.53</v>
      </c>
      <c r="H990">
        <v>2616.79</v>
      </c>
    </row>
    <row r="991" spans="1:8" x14ac:dyDescent="0.2">
      <c r="A991" s="2">
        <v>45567</v>
      </c>
      <c r="B991">
        <v>39</v>
      </c>
      <c r="C991">
        <v>4</v>
      </c>
      <c r="D991">
        <v>55</v>
      </c>
      <c r="E991">
        <v>98</v>
      </c>
      <c r="F991">
        <v>82</v>
      </c>
      <c r="G991">
        <v>24.48</v>
      </c>
      <c r="H991">
        <v>2399.0300000000002</v>
      </c>
    </row>
    <row r="992" spans="1:8" x14ac:dyDescent="0.2">
      <c r="A992" s="2">
        <v>45568</v>
      </c>
      <c r="B992">
        <v>37</v>
      </c>
      <c r="C992">
        <v>17</v>
      </c>
      <c r="D992">
        <v>51</v>
      </c>
      <c r="E992">
        <v>107</v>
      </c>
      <c r="F992">
        <v>73</v>
      </c>
      <c r="G992">
        <v>23.79</v>
      </c>
      <c r="H992">
        <v>2545.21</v>
      </c>
    </row>
    <row r="993" spans="1:8" x14ac:dyDescent="0.2">
      <c r="A993" s="2">
        <v>45569</v>
      </c>
      <c r="B993">
        <v>110</v>
      </c>
      <c r="C993">
        <v>32</v>
      </c>
      <c r="D993">
        <v>88</v>
      </c>
      <c r="E993">
        <v>230</v>
      </c>
      <c r="F993">
        <v>81</v>
      </c>
      <c r="G993">
        <v>21.8</v>
      </c>
      <c r="H993">
        <v>5014.17</v>
      </c>
    </row>
    <row r="994" spans="1:8" x14ac:dyDescent="0.2">
      <c r="A994" s="2">
        <v>45570</v>
      </c>
      <c r="B994">
        <v>173</v>
      </c>
      <c r="C994">
        <v>57</v>
      </c>
      <c r="D994">
        <v>133</v>
      </c>
      <c r="E994">
        <v>363</v>
      </c>
      <c r="F994">
        <v>78</v>
      </c>
      <c r="G994">
        <v>24.87</v>
      </c>
      <c r="H994">
        <v>9026.98</v>
      </c>
    </row>
    <row r="995" spans="1:8" x14ac:dyDescent="0.2">
      <c r="A995" s="2">
        <v>45571</v>
      </c>
      <c r="B995">
        <v>31</v>
      </c>
      <c r="C995">
        <v>29</v>
      </c>
      <c r="D995">
        <v>65</v>
      </c>
      <c r="E995">
        <v>125</v>
      </c>
      <c r="F995">
        <v>72</v>
      </c>
      <c r="G995">
        <v>24.07</v>
      </c>
      <c r="H995">
        <v>3008.28</v>
      </c>
    </row>
    <row r="996" spans="1:8" x14ac:dyDescent="0.2">
      <c r="A996" s="2">
        <v>45572</v>
      </c>
      <c r="B996">
        <v>32</v>
      </c>
      <c r="C996">
        <v>8</v>
      </c>
      <c r="D996">
        <v>41</v>
      </c>
      <c r="E996">
        <v>81</v>
      </c>
      <c r="F996">
        <v>82</v>
      </c>
      <c r="G996">
        <v>28.3</v>
      </c>
      <c r="H996">
        <v>2292.0700000000002</v>
      </c>
    </row>
    <row r="997" spans="1:8" x14ac:dyDescent="0.2">
      <c r="A997" s="2">
        <v>45573</v>
      </c>
      <c r="B997">
        <v>29</v>
      </c>
      <c r="C997">
        <v>18</v>
      </c>
      <c r="D997">
        <v>59</v>
      </c>
      <c r="E997">
        <v>106</v>
      </c>
      <c r="F997">
        <v>83</v>
      </c>
      <c r="G997">
        <v>17.07</v>
      </c>
      <c r="H997">
        <v>1809.29</v>
      </c>
    </row>
    <row r="998" spans="1:8" x14ac:dyDescent="0.2">
      <c r="A998" s="2">
        <v>45574</v>
      </c>
      <c r="B998">
        <v>26</v>
      </c>
      <c r="C998">
        <v>11</v>
      </c>
      <c r="D998">
        <v>41</v>
      </c>
      <c r="E998">
        <v>78</v>
      </c>
      <c r="F998">
        <v>76</v>
      </c>
      <c r="G998">
        <v>23.84</v>
      </c>
      <c r="H998">
        <v>1859.14</v>
      </c>
    </row>
    <row r="999" spans="1:8" x14ac:dyDescent="0.2">
      <c r="A999" s="2">
        <v>45575</v>
      </c>
      <c r="B999">
        <v>46</v>
      </c>
      <c r="C999">
        <v>20</v>
      </c>
      <c r="D999">
        <v>42</v>
      </c>
      <c r="E999">
        <v>108</v>
      </c>
      <c r="F999">
        <v>92</v>
      </c>
      <c r="G999">
        <v>21.33</v>
      </c>
      <c r="H999">
        <v>2303.3000000000002</v>
      </c>
    </row>
    <row r="1000" spans="1:8" x14ac:dyDescent="0.2">
      <c r="A1000" s="2">
        <v>45576</v>
      </c>
      <c r="B1000">
        <v>119</v>
      </c>
      <c r="C1000">
        <v>30</v>
      </c>
      <c r="D1000">
        <v>60</v>
      </c>
      <c r="E1000">
        <v>209</v>
      </c>
      <c r="F1000">
        <v>81</v>
      </c>
      <c r="G1000">
        <v>29.14</v>
      </c>
      <c r="H1000">
        <v>6090.31</v>
      </c>
    </row>
    <row r="1001" spans="1:8" x14ac:dyDescent="0.2">
      <c r="A1001" s="2">
        <v>45577</v>
      </c>
      <c r="B1001">
        <v>198</v>
      </c>
      <c r="C1001">
        <v>63</v>
      </c>
      <c r="D1001">
        <v>91</v>
      </c>
      <c r="E1001">
        <v>352</v>
      </c>
      <c r="F1001">
        <v>87</v>
      </c>
      <c r="G1001">
        <v>27.52</v>
      </c>
      <c r="H1001">
        <v>9687.94</v>
      </c>
    </row>
    <row r="1002" spans="1:8" x14ac:dyDescent="0.2">
      <c r="A1002" s="2">
        <v>45578</v>
      </c>
      <c r="B1002">
        <v>49</v>
      </c>
      <c r="C1002">
        <v>28</v>
      </c>
      <c r="D1002">
        <v>63</v>
      </c>
      <c r="E1002">
        <v>140</v>
      </c>
      <c r="F1002">
        <v>72</v>
      </c>
      <c r="G1002">
        <v>27.08</v>
      </c>
      <c r="H1002">
        <v>3790.57</v>
      </c>
    </row>
    <row r="1003" spans="1:8" x14ac:dyDescent="0.2">
      <c r="A1003" s="2">
        <v>45579</v>
      </c>
      <c r="B1003">
        <v>94</v>
      </c>
      <c r="C1003">
        <v>37</v>
      </c>
      <c r="D1003">
        <v>34</v>
      </c>
      <c r="E1003">
        <v>165</v>
      </c>
      <c r="F1003">
        <v>82</v>
      </c>
      <c r="G1003">
        <v>23.37</v>
      </c>
      <c r="H1003">
        <v>3855.6</v>
      </c>
    </row>
    <row r="1004" spans="1:8" x14ac:dyDescent="0.2">
      <c r="A1004" s="2">
        <v>45580</v>
      </c>
      <c r="B1004">
        <v>90</v>
      </c>
      <c r="C1004">
        <v>41</v>
      </c>
      <c r="D1004">
        <v>53</v>
      </c>
      <c r="E1004">
        <v>184</v>
      </c>
      <c r="F1004">
        <v>81</v>
      </c>
      <c r="G1004">
        <v>21.66</v>
      </c>
      <c r="H1004">
        <v>3985.24</v>
      </c>
    </row>
    <row r="1005" spans="1:8" x14ac:dyDescent="0.2">
      <c r="A1005" s="2">
        <v>45581</v>
      </c>
      <c r="B1005">
        <v>112</v>
      </c>
      <c r="C1005">
        <v>25</v>
      </c>
      <c r="D1005">
        <v>54</v>
      </c>
      <c r="E1005">
        <v>191</v>
      </c>
      <c r="F1005">
        <v>90</v>
      </c>
      <c r="G1005">
        <v>18.739999999999998</v>
      </c>
      <c r="H1005">
        <v>3579.25</v>
      </c>
    </row>
    <row r="1006" spans="1:8" x14ac:dyDescent="0.2">
      <c r="A1006" s="2">
        <v>45582</v>
      </c>
      <c r="B1006">
        <v>124</v>
      </c>
      <c r="C1006">
        <v>28</v>
      </c>
      <c r="D1006">
        <v>35</v>
      </c>
      <c r="E1006">
        <v>187</v>
      </c>
      <c r="F1006">
        <v>75</v>
      </c>
      <c r="G1006">
        <v>17.29</v>
      </c>
      <c r="H1006">
        <v>3232.81</v>
      </c>
    </row>
    <row r="1007" spans="1:8" x14ac:dyDescent="0.2">
      <c r="A1007" s="2">
        <v>45583</v>
      </c>
      <c r="B1007">
        <v>153</v>
      </c>
      <c r="C1007">
        <v>21</v>
      </c>
      <c r="D1007">
        <v>76</v>
      </c>
      <c r="E1007">
        <v>250</v>
      </c>
      <c r="F1007">
        <v>89</v>
      </c>
      <c r="G1007">
        <v>23.65</v>
      </c>
      <c r="H1007">
        <v>5911.65</v>
      </c>
    </row>
    <row r="1008" spans="1:8" x14ac:dyDescent="0.2">
      <c r="A1008" s="2">
        <v>45584</v>
      </c>
      <c r="B1008">
        <v>215</v>
      </c>
      <c r="C1008">
        <v>53</v>
      </c>
      <c r="D1008">
        <v>144</v>
      </c>
      <c r="E1008">
        <v>412</v>
      </c>
      <c r="F1008">
        <v>88</v>
      </c>
      <c r="G1008">
        <v>25.53</v>
      </c>
      <c r="H1008">
        <v>10519</v>
      </c>
    </row>
    <row r="1009" spans="1:8" x14ac:dyDescent="0.2">
      <c r="A1009" s="2">
        <v>45585</v>
      </c>
      <c r="B1009">
        <v>133</v>
      </c>
      <c r="C1009">
        <v>68</v>
      </c>
      <c r="D1009">
        <v>62</v>
      </c>
      <c r="E1009">
        <v>263</v>
      </c>
      <c r="F1009">
        <v>87</v>
      </c>
      <c r="G1009">
        <v>25.09</v>
      </c>
      <c r="H1009">
        <v>6598.2</v>
      </c>
    </row>
    <row r="1010" spans="1:8" x14ac:dyDescent="0.2">
      <c r="A1010" s="2">
        <v>45586</v>
      </c>
      <c r="B1010">
        <v>65</v>
      </c>
      <c r="C1010">
        <v>14</v>
      </c>
      <c r="D1010">
        <v>55</v>
      </c>
      <c r="E1010">
        <v>134</v>
      </c>
      <c r="F1010">
        <v>78</v>
      </c>
      <c r="G1010">
        <v>21.97</v>
      </c>
      <c r="H1010">
        <v>2944.05</v>
      </c>
    </row>
    <row r="1011" spans="1:8" x14ac:dyDescent="0.2">
      <c r="A1011" s="2">
        <v>45587</v>
      </c>
      <c r="B1011">
        <v>64</v>
      </c>
      <c r="C1011">
        <v>33</v>
      </c>
      <c r="D1011">
        <v>75</v>
      </c>
      <c r="E1011">
        <v>172</v>
      </c>
      <c r="F1011">
        <v>87</v>
      </c>
      <c r="G1011">
        <v>22.21</v>
      </c>
      <c r="H1011">
        <v>3819.4</v>
      </c>
    </row>
    <row r="1012" spans="1:8" x14ac:dyDescent="0.2">
      <c r="A1012" s="2">
        <v>45588</v>
      </c>
      <c r="B1012">
        <v>36</v>
      </c>
      <c r="C1012">
        <v>18</v>
      </c>
      <c r="D1012">
        <v>58</v>
      </c>
      <c r="E1012">
        <v>112</v>
      </c>
      <c r="F1012">
        <v>76</v>
      </c>
      <c r="G1012">
        <v>24.45</v>
      </c>
      <c r="H1012">
        <v>2738.6</v>
      </c>
    </row>
    <row r="1013" spans="1:8" x14ac:dyDescent="0.2">
      <c r="A1013" s="2">
        <v>45589</v>
      </c>
      <c r="B1013">
        <v>61</v>
      </c>
      <c r="C1013">
        <v>17</v>
      </c>
      <c r="D1013">
        <v>54</v>
      </c>
      <c r="E1013">
        <v>132</v>
      </c>
      <c r="F1013">
        <v>83</v>
      </c>
      <c r="G1013">
        <v>23.74</v>
      </c>
      <c r="H1013">
        <v>3133.77</v>
      </c>
    </row>
    <row r="1014" spans="1:8" x14ac:dyDescent="0.2">
      <c r="A1014" s="2">
        <v>45590</v>
      </c>
      <c r="B1014">
        <v>112</v>
      </c>
      <c r="C1014">
        <v>33</v>
      </c>
      <c r="D1014">
        <v>76</v>
      </c>
      <c r="E1014">
        <v>221</v>
      </c>
      <c r="F1014">
        <v>87</v>
      </c>
      <c r="G1014">
        <v>25.18</v>
      </c>
      <c r="H1014">
        <v>5564.44</v>
      </c>
    </row>
    <row r="1015" spans="1:8" x14ac:dyDescent="0.2">
      <c r="A1015" s="2">
        <v>45591</v>
      </c>
      <c r="B1015">
        <v>210</v>
      </c>
      <c r="C1015">
        <v>48</v>
      </c>
      <c r="D1015">
        <v>128</v>
      </c>
      <c r="E1015">
        <v>386</v>
      </c>
      <c r="F1015">
        <v>83</v>
      </c>
      <c r="G1015">
        <v>25.22</v>
      </c>
      <c r="H1015">
        <v>9735.1200000000008</v>
      </c>
    </row>
    <row r="1016" spans="1:8" x14ac:dyDescent="0.2">
      <c r="A1016" s="2">
        <v>45592</v>
      </c>
      <c r="B1016">
        <v>64</v>
      </c>
      <c r="C1016">
        <v>47</v>
      </c>
      <c r="D1016">
        <v>138</v>
      </c>
      <c r="E1016">
        <v>249</v>
      </c>
      <c r="F1016">
        <v>87</v>
      </c>
      <c r="G1016">
        <v>21.26</v>
      </c>
      <c r="H1016">
        <v>5292.62</v>
      </c>
    </row>
    <row r="1017" spans="1:8" x14ac:dyDescent="0.2">
      <c r="A1017" s="2">
        <v>45593</v>
      </c>
      <c r="B1017">
        <v>66</v>
      </c>
      <c r="C1017">
        <v>26</v>
      </c>
      <c r="D1017">
        <v>77</v>
      </c>
      <c r="E1017">
        <v>169</v>
      </c>
      <c r="F1017">
        <v>75</v>
      </c>
      <c r="G1017">
        <v>20.6</v>
      </c>
      <c r="H1017">
        <v>3481.74</v>
      </c>
    </row>
    <row r="1018" spans="1:8" x14ac:dyDescent="0.2">
      <c r="A1018" s="2">
        <v>45594</v>
      </c>
      <c r="B1018">
        <v>92</v>
      </c>
      <c r="C1018">
        <v>56</v>
      </c>
      <c r="D1018">
        <v>84</v>
      </c>
      <c r="E1018">
        <v>232</v>
      </c>
      <c r="F1018">
        <v>84</v>
      </c>
      <c r="G1018">
        <v>22.94</v>
      </c>
      <c r="H1018">
        <v>5322.89</v>
      </c>
    </row>
    <row r="1019" spans="1:8" x14ac:dyDescent="0.2">
      <c r="A1019" s="2">
        <v>45595</v>
      </c>
      <c r="B1019">
        <v>68</v>
      </c>
      <c r="C1019">
        <v>59</v>
      </c>
      <c r="D1019">
        <v>63</v>
      </c>
      <c r="E1019">
        <v>190</v>
      </c>
      <c r="F1019">
        <v>81</v>
      </c>
      <c r="G1019">
        <v>22.05</v>
      </c>
      <c r="H1019">
        <v>4189.67</v>
      </c>
    </row>
    <row r="1020" spans="1:8" x14ac:dyDescent="0.2">
      <c r="A1020" s="2">
        <v>45596</v>
      </c>
      <c r="B1020">
        <v>64</v>
      </c>
      <c r="C1020">
        <v>28</v>
      </c>
      <c r="D1020">
        <v>80</v>
      </c>
      <c r="E1020">
        <v>175</v>
      </c>
      <c r="F1020">
        <v>85</v>
      </c>
      <c r="G1020">
        <v>23.7</v>
      </c>
      <c r="H1020">
        <v>4147.96</v>
      </c>
    </row>
    <row r="1021" spans="1:8" x14ac:dyDescent="0.2">
      <c r="A1021" s="2">
        <v>45597</v>
      </c>
      <c r="B1021">
        <v>125</v>
      </c>
      <c r="C1021">
        <v>57</v>
      </c>
      <c r="D1021">
        <v>102</v>
      </c>
      <c r="E1021">
        <v>284</v>
      </c>
      <c r="F1021">
        <v>81</v>
      </c>
      <c r="G1021">
        <v>23.8</v>
      </c>
      <c r="H1021">
        <v>6758.1</v>
      </c>
    </row>
    <row r="1022" spans="1:8" x14ac:dyDescent="0.2">
      <c r="A1022" s="2">
        <v>45598</v>
      </c>
      <c r="B1022">
        <v>189</v>
      </c>
      <c r="C1022">
        <v>45</v>
      </c>
      <c r="D1022">
        <v>81</v>
      </c>
      <c r="E1022">
        <v>317</v>
      </c>
      <c r="F1022">
        <v>82</v>
      </c>
      <c r="G1022">
        <v>26.49</v>
      </c>
      <c r="H1022">
        <v>8395.91</v>
      </c>
    </row>
    <row r="1023" spans="1:8" x14ac:dyDescent="0.2">
      <c r="A1023" s="2">
        <v>45599</v>
      </c>
      <c r="B1023">
        <v>62</v>
      </c>
      <c r="C1023">
        <v>13</v>
      </c>
      <c r="D1023">
        <v>61</v>
      </c>
      <c r="E1023">
        <v>136</v>
      </c>
      <c r="F1023">
        <v>77</v>
      </c>
      <c r="G1023">
        <v>23.17</v>
      </c>
      <c r="H1023">
        <v>3151.68</v>
      </c>
    </row>
    <row r="1024" spans="1:8" x14ac:dyDescent="0.2">
      <c r="A1024" s="2">
        <v>45600</v>
      </c>
      <c r="B1024">
        <v>32</v>
      </c>
      <c r="C1024">
        <v>10</v>
      </c>
      <c r="D1024">
        <v>37</v>
      </c>
      <c r="E1024">
        <v>79</v>
      </c>
      <c r="F1024">
        <v>95</v>
      </c>
      <c r="G1024">
        <v>22.35</v>
      </c>
      <c r="H1024">
        <v>1765.63</v>
      </c>
    </row>
    <row r="1025" spans="1:8" x14ac:dyDescent="0.2">
      <c r="A1025" s="2">
        <v>45601</v>
      </c>
      <c r="B1025">
        <v>29</v>
      </c>
      <c r="C1025">
        <v>11</v>
      </c>
      <c r="D1025">
        <v>55</v>
      </c>
      <c r="E1025">
        <v>95</v>
      </c>
      <c r="F1025">
        <v>81</v>
      </c>
      <c r="G1025">
        <v>21.01</v>
      </c>
      <c r="H1025">
        <v>1996.33</v>
      </c>
    </row>
    <row r="1026" spans="1:8" x14ac:dyDescent="0.2">
      <c r="A1026" s="2">
        <v>45602</v>
      </c>
      <c r="B1026">
        <v>123</v>
      </c>
      <c r="C1026">
        <v>11</v>
      </c>
      <c r="D1026">
        <v>36</v>
      </c>
      <c r="E1026">
        <v>170</v>
      </c>
      <c r="F1026">
        <v>76</v>
      </c>
      <c r="G1026">
        <v>13.5</v>
      </c>
      <c r="H1026">
        <v>2295.79</v>
      </c>
    </row>
    <row r="1027" spans="1:8" x14ac:dyDescent="0.2">
      <c r="A1027" s="2">
        <v>45603</v>
      </c>
      <c r="B1027">
        <v>49</v>
      </c>
      <c r="C1027">
        <v>24</v>
      </c>
      <c r="D1027">
        <v>43</v>
      </c>
      <c r="E1027">
        <v>116</v>
      </c>
      <c r="F1027">
        <v>77</v>
      </c>
      <c r="G1027">
        <v>24.85</v>
      </c>
      <c r="H1027">
        <v>2882.75</v>
      </c>
    </row>
    <row r="1028" spans="1:8" x14ac:dyDescent="0.2">
      <c r="A1028" s="2">
        <v>45604</v>
      </c>
      <c r="B1028">
        <v>175</v>
      </c>
      <c r="C1028">
        <v>32</v>
      </c>
      <c r="D1028">
        <v>60</v>
      </c>
      <c r="E1028">
        <v>267</v>
      </c>
      <c r="F1028">
        <v>88</v>
      </c>
      <c r="G1028">
        <v>25.83</v>
      </c>
      <c r="H1028">
        <v>6896.82</v>
      </c>
    </row>
    <row r="1029" spans="1:8" x14ac:dyDescent="0.2">
      <c r="A1029" s="2">
        <v>45605</v>
      </c>
      <c r="B1029">
        <v>235</v>
      </c>
      <c r="C1029">
        <v>40</v>
      </c>
      <c r="D1029">
        <v>127</v>
      </c>
      <c r="E1029">
        <v>402</v>
      </c>
      <c r="F1029">
        <v>98</v>
      </c>
      <c r="G1029">
        <v>25</v>
      </c>
      <c r="H1029">
        <v>10050.629999999999</v>
      </c>
    </row>
    <row r="1030" spans="1:8" x14ac:dyDescent="0.2">
      <c r="A1030" s="2">
        <v>45606</v>
      </c>
      <c r="B1030">
        <v>59</v>
      </c>
      <c r="C1030">
        <v>19</v>
      </c>
      <c r="D1030">
        <v>76</v>
      </c>
      <c r="E1030">
        <v>154</v>
      </c>
      <c r="F1030">
        <v>86</v>
      </c>
      <c r="G1030">
        <v>20.63</v>
      </c>
      <c r="H1030">
        <v>3177.52</v>
      </c>
    </row>
    <row r="1031" spans="1:8" x14ac:dyDescent="0.2">
      <c r="A1031" s="2">
        <v>45607</v>
      </c>
      <c r="B1031">
        <v>51</v>
      </c>
      <c r="C1031">
        <v>21</v>
      </c>
      <c r="D1031">
        <v>42</v>
      </c>
      <c r="E1031">
        <v>114</v>
      </c>
      <c r="F1031">
        <v>84</v>
      </c>
      <c r="G1031">
        <v>24.6</v>
      </c>
      <c r="H1031">
        <v>2804.33</v>
      </c>
    </row>
    <row r="1032" spans="1:8" x14ac:dyDescent="0.2">
      <c r="A1032" s="2">
        <v>45608</v>
      </c>
      <c r="B1032">
        <v>63</v>
      </c>
      <c r="C1032">
        <v>18</v>
      </c>
      <c r="D1032">
        <v>58</v>
      </c>
      <c r="E1032">
        <v>139</v>
      </c>
      <c r="F1032">
        <v>84</v>
      </c>
      <c r="G1032">
        <v>30.32</v>
      </c>
      <c r="H1032">
        <v>4214.55</v>
      </c>
    </row>
    <row r="1033" spans="1:8" x14ac:dyDescent="0.2">
      <c r="A1033" s="2">
        <v>45609</v>
      </c>
      <c r="B1033">
        <v>74</v>
      </c>
      <c r="C1033">
        <v>8</v>
      </c>
      <c r="D1033">
        <v>48</v>
      </c>
      <c r="E1033">
        <v>130</v>
      </c>
      <c r="F1033">
        <v>92</v>
      </c>
      <c r="G1033">
        <v>23.99</v>
      </c>
      <c r="H1033">
        <v>3118.62</v>
      </c>
    </row>
    <row r="1034" spans="1:8" x14ac:dyDescent="0.2">
      <c r="A1034" s="2">
        <v>45610</v>
      </c>
      <c r="B1034">
        <v>49</v>
      </c>
      <c r="C1034">
        <v>8</v>
      </c>
      <c r="D1034">
        <v>57</v>
      </c>
      <c r="E1034">
        <v>114</v>
      </c>
      <c r="F1034">
        <v>86</v>
      </c>
      <c r="G1034">
        <v>21.9</v>
      </c>
      <c r="H1034">
        <v>2496.33</v>
      </c>
    </row>
    <row r="1035" spans="1:8" x14ac:dyDescent="0.2">
      <c r="A1035" s="2">
        <v>45611</v>
      </c>
      <c r="B1035">
        <v>172</v>
      </c>
      <c r="C1035">
        <v>23</v>
      </c>
      <c r="D1035">
        <v>96</v>
      </c>
      <c r="E1035">
        <v>291</v>
      </c>
      <c r="F1035">
        <v>89</v>
      </c>
      <c r="G1035">
        <v>25.63</v>
      </c>
      <c r="H1035">
        <v>7459.13</v>
      </c>
    </row>
    <row r="1036" spans="1:8" x14ac:dyDescent="0.2">
      <c r="A1036" s="2">
        <v>45612</v>
      </c>
      <c r="B1036">
        <v>289</v>
      </c>
      <c r="C1036">
        <v>44</v>
      </c>
      <c r="D1036">
        <v>99</v>
      </c>
      <c r="E1036">
        <v>432</v>
      </c>
      <c r="F1036">
        <v>92</v>
      </c>
      <c r="G1036">
        <v>29.35</v>
      </c>
      <c r="H1036">
        <v>12677.33</v>
      </c>
    </row>
    <row r="1037" spans="1:8" x14ac:dyDescent="0.2">
      <c r="A1037" s="2">
        <v>45613</v>
      </c>
      <c r="B1037">
        <v>83</v>
      </c>
      <c r="C1037">
        <v>41</v>
      </c>
      <c r="D1037">
        <v>65</v>
      </c>
      <c r="E1037">
        <v>189</v>
      </c>
      <c r="F1037">
        <v>90</v>
      </c>
      <c r="G1037">
        <v>24.68</v>
      </c>
      <c r="H1037">
        <v>4663.75</v>
      </c>
    </row>
    <row r="1038" spans="1:8" x14ac:dyDescent="0.2">
      <c r="A1038" s="2">
        <v>45614</v>
      </c>
      <c r="B1038">
        <v>32</v>
      </c>
      <c r="C1038">
        <v>11</v>
      </c>
      <c r="D1038">
        <v>67</v>
      </c>
      <c r="E1038">
        <v>110</v>
      </c>
      <c r="F1038">
        <v>80</v>
      </c>
      <c r="G1038">
        <v>21.12</v>
      </c>
      <c r="H1038">
        <v>2322.87</v>
      </c>
    </row>
    <row r="1039" spans="1:8" x14ac:dyDescent="0.2">
      <c r="A1039" s="2">
        <v>45615</v>
      </c>
      <c r="B1039">
        <v>29</v>
      </c>
      <c r="C1039">
        <v>16</v>
      </c>
      <c r="D1039">
        <v>57</v>
      </c>
      <c r="E1039">
        <v>102</v>
      </c>
      <c r="F1039">
        <v>93</v>
      </c>
      <c r="G1039">
        <v>22.68</v>
      </c>
      <c r="H1039">
        <v>2313</v>
      </c>
    </row>
    <row r="1040" spans="1:8" x14ac:dyDescent="0.2">
      <c r="A1040" s="2">
        <v>45616</v>
      </c>
      <c r="B1040">
        <v>64</v>
      </c>
      <c r="C1040">
        <v>21</v>
      </c>
      <c r="D1040">
        <v>55</v>
      </c>
      <c r="E1040">
        <v>140</v>
      </c>
      <c r="F1040">
        <v>92</v>
      </c>
      <c r="G1040">
        <v>23.39</v>
      </c>
      <c r="H1040">
        <v>3274.76</v>
      </c>
    </row>
    <row r="1041" spans="1:8" x14ac:dyDescent="0.2">
      <c r="A1041" s="2">
        <v>45617</v>
      </c>
      <c r="B1041">
        <v>40</v>
      </c>
      <c r="C1041">
        <v>8</v>
      </c>
      <c r="D1041">
        <v>41</v>
      </c>
      <c r="E1041">
        <v>89</v>
      </c>
      <c r="F1041">
        <v>99</v>
      </c>
      <c r="G1041">
        <v>26.03</v>
      </c>
      <c r="H1041">
        <v>2316.8000000000002</v>
      </c>
    </row>
    <row r="1042" spans="1:8" x14ac:dyDescent="0.2">
      <c r="A1042" s="2">
        <v>45618</v>
      </c>
      <c r="B1042">
        <v>144</v>
      </c>
      <c r="C1042">
        <v>40</v>
      </c>
      <c r="D1042">
        <v>84</v>
      </c>
      <c r="E1042">
        <v>272</v>
      </c>
      <c r="F1042">
        <v>89</v>
      </c>
      <c r="G1042">
        <v>23.39</v>
      </c>
      <c r="H1042">
        <v>6363.1</v>
      </c>
    </row>
    <row r="1043" spans="1:8" x14ac:dyDescent="0.2">
      <c r="A1043" s="2">
        <v>45619</v>
      </c>
      <c r="B1043">
        <v>345</v>
      </c>
      <c r="C1043">
        <v>27</v>
      </c>
      <c r="D1043">
        <v>71</v>
      </c>
      <c r="E1043">
        <v>443</v>
      </c>
      <c r="F1043">
        <v>96</v>
      </c>
      <c r="G1043">
        <v>25.11</v>
      </c>
      <c r="H1043">
        <v>11121.88</v>
      </c>
    </row>
    <row r="1044" spans="1:8" x14ac:dyDescent="0.2">
      <c r="A1044" s="2">
        <v>45620</v>
      </c>
      <c r="B1044">
        <v>84</v>
      </c>
      <c r="C1044">
        <v>39</v>
      </c>
      <c r="D1044">
        <v>74</v>
      </c>
      <c r="E1044">
        <v>197</v>
      </c>
      <c r="F1044">
        <v>85</v>
      </c>
      <c r="G1044">
        <v>26.41</v>
      </c>
      <c r="H1044">
        <v>5202.49</v>
      </c>
    </row>
    <row r="1045" spans="1:8" x14ac:dyDescent="0.2">
      <c r="A1045" s="2">
        <v>45621</v>
      </c>
      <c r="B1045">
        <v>19</v>
      </c>
      <c r="C1045">
        <v>11</v>
      </c>
      <c r="D1045">
        <v>72</v>
      </c>
      <c r="E1045">
        <v>102</v>
      </c>
      <c r="F1045">
        <v>81</v>
      </c>
      <c r="G1045">
        <v>24.6</v>
      </c>
      <c r="H1045">
        <v>2509.5100000000002</v>
      </c>
    </row>
    <row r="1046" spans="1:8" x14ac:dyDescent="0.2">
      <c r="A1046" s="2">
        <v>45622</v>
      </c>
      <c r="B1046">
        <v>126</v>
      </c>
      <c r="C1046">
        <v>26</v>
      </c>
      <c r="D1046">
        <v>50</v>
      </c>
      <c r="E1046">
        <v>202</v>
      </c>
      <c r="F1046">
        <v>92</v>
      </c>
      <c r="G1046">
        <v>26.29</v>
      </c>
      <c r="H1046">
        <v>5310.65</v>
      </c>
    </row>
    <row r="1047" spans="1:8" x14ac:dyDescent="0.2">
      <c r="A1047" s="2">
        <v>45623</v>
      </c>
      <c r="B1047">
        <v>43</v>
      </c>
      <c r="C1047">
        <v>12</v>
      </c>
      <c r="D1047">
        <v>62</v>
      </c>
      <c r="E1047">
        <v>117</v>
      </c>
      <c r="F1047">
        <v>85</v>
      </c>
      <c r="G1047">
        <v>28.61</v>
      </c>
      <c r="H1047">
        <v>3346.98</v>
      </c>
    </row>
    <row r="1048" spans="1:8" x14ac:dyDescent="0.2">
      <c r="A1048" s="2">
        <v>45624</v>
      </c>
      <c r="B1048">
        <v>69</v>
      </c>
      <c r="C1048">
        <v>25</v>
      </c>
      <c r="D1048">
        <v>43</v>
      </c>
      <c r="E1048">
        <v>137</v>
      </c>
      <c r="F1048">
        <v>87</v>
      </c>
      <c r="G1048">
        <v>22.29</v>
      </c>
      <c r="H1048">
        <v>3053.74</v>
      </c>
    </row>
    <row r="1049" spans="1:8" x14ac:dyDescent="0.2">
      <c r="A1049" s="2">
        <v>45625</v>
      </c>
      <c r="B1049">
        <v>144</v>
      </c>
      <c r="C1049">
        <v>32</v>
      </c>
      <c r="D1049">
        <v>89</v>
      </c>
      <c r="E1049">
        <v>265</v>
      </c>
      <c r="F1049">
        <v>90</v>
      </c>
      <c r="G1049">
        <v>26.8</v>
      </c>
      <c r="H1049">
        <v>7100.72</v>
      </c>
    </row>
    <row r="1050" spans="1:8" x14ac:dyDescent="0.2">
      <c r="A1050" s="2">
        <v>45626</v>
      </c>
      <c r="B1050">
        <v>355</v>
      </c>
      <c r="C1050">
        <v>61</v>
      </c>
      <c r="D1050">
        <v>61</v>
      </c>
      <c r="E1050">
        <v>477</v>
      </c>
      <c r="F1050">
        <v>92</v>
      </c>
      <c r="G1050">
        <v>30.38</v>
      </c>
      <c r="H1050">
        <v>14493.54</v>
      </c>
    </row>
    <row r="1051" spans="1:8" x14ac:dyDescent="0.2">
      <c r="A1051" s="2">
        <v>45627</v>
      </c>
      <c r="B1051">
        <v>91</v>
      </c>
      <c r="C1051">
        <v>49</v>
      </c>
      <c r="D1051">
        <v>112</v>
      </c>
      <c r="E1051">
        <v>252</v>
      </c>
      <c r="F1051">
        <v>84</v>
      </c>
      <c r="G1051">
        <v>25.29</v>
      </c>
      <c r="H1051">
        <v>6374.23</v>
      </c>
    </row>
    <row r="1052" spans="1:8" x14ac:dyDescent="0.2">
      <c r="A1052" s="2">
        <v>45628</v>
      </c>
      <c r="B1052">
        <v>47</v>
      </c>
      <c r="C1052">
        <v>34</v>
      </c>
      <c r="D1052">
        <v>74</v>
      </c>
      <c r="E1052">
        <v>157</v>
      </c>
      <c r="F1052">
        <v>84</v>
      </c>
      <c r="G1052">
        <v>22.88</v>
      </c>
      <c r="H1052">
        <v>3592.23</v>
      </c>
    </row>
    <row r="1053" spans="1:8" x14ac:dyDescent="0.2">
      <c r="A1053" s="2">
        <v>45629</v>
      </c>
      <c r="B1053">
        <v>69</v>
      </c>
      <c r="C1053">
        <v>17</v>
      </c>
      <c r="D1053">
        <v>85</v>
      </c>
      <c r="E1053">
        <v>171</v>
      </c>
      <c r="F1053">
        <v>91</v>
      </c>
      <c r="G1053">
        <v>19.059999999999999</v>
      </c>
      <c r="H1053">
        <v>3258.57</v>
      </c>
    </row>
    <row r="1054" spans="1:8" x14ac:dyDescent="0.2">
      <c r="A1054" s="2">
        <v>45630</v>
      </c>
      <c r="B1054">
        <v>72</v>
      </c>
      <c r="C1054">
        <v>21</v>
      </c>
      <c r="D1054">
        <v>79</v>
      </c>
      <c r="E1054">
        <v>172</v>
      </c>
      <c r="F1054">
        <v>92</v>
      </c>
      <c r="G1054">
        <v>28.93</v>
      </c>
      <c r="H1054">
        <v>4975.1400000000003</v>
      </c>
    </row>
    <row r="1055" spans="1:8" x14ac:dyDescent="0.2">
      <c r="A1055" s="2">
        <v>45631</v>
      </c>
      <c r="B1055">
        <v>102</v>
      </c>
      <c r="C1055">
        <v>23</v>
      </c>
      <c r="D1055">
        <v>62</v>
      </c>
      <c r="E1055">
        <v>187</v>
      </c>
      <c r="F1055">
        <v>93</v>
      </c>
      <c r="G1055">
        <v>20.48</v>
      </c>
      <c r="H1055">
        <v>3830.28</v>
      </c>
    </row>
    <row r="1056" spans="1:8" x14ac:dyDescent="0.2">
      <c r="A1056" s="2">
        <v>45632</v>
      </c>
      <c r="B1056">
        <v>228</v>
      </c>
      <c r="C1056">
        <v>33</v>
      </c>
      <c r="D1056">
        <v>63</v>
      </c>
      <c r="E1056">
        <v>324</v>
      </c>
      <c r="F1056">
        <v>96</v>
      </c>
      <c r="G1056">
        <v>24.06</v>
      </c>
      <c r="H1056">
        <v>7795.55</v>
      </c>
    </row>
    <row r="1057" spans="1:8" x14ac:dyDescent="0.2">
      <c r="A1057" s="2">
        <v>45633</v>
      </c>
      <c r="B1057">
        <v>262</v>
      </c>
      <c r="C1057">
        <v>52</v>
      </c>
      <c r="D1057">
        <v>116</v>
      </c>
      <c r="E1057">
        <v>430</v>
      </c>
      <c r="F1057">
        <v>91</v>
      </c>
      <c r="G1057">
        <v>28.66</v>
      </c>
      <c r="H1057">
        <v>12324.77</v>
      </c>
    </row>
    <row r="1058" spans="1:8" x14ac:dyDescent="0.2">
      <c r="A1058" s="2">
        <v>45634</v>
      </c>
      <c r="B1058">
        <v>68</v>
      </c>
      <c r="C1058">
        <v>37</v>
      </c>
      <c r="D1058">
        <v>74</v>
      </c>
      <c r="E1058">
        <v>179</v>
      </c>
      <c r="F1058">
        <v>84</v>
      </c>
      <c r="G1058">
        <v>25.34</v>
      </c>
      <c r="H1058">
        <v>4535.5</v>
      </c>
    </row>
    <row r="1059" spans="1:8" x14ac:dyDescent="0.2">
      <c r="A1059" s="2">
        <v>45635</v>
      </c>
      <c r="B1059">
        <v>91</v>
      </c>
      <c r="C1059">
        <v>18</v>
      </c>
      <c r="D1059">
        <v>76</v>
      </c>
      <c r="E1059">
        <v>185</v>
      </c>
      <c r="F1059">
        <v>85</v>
      </c>
      <c r="G1059">
        <v>22.45</v>
      </c>
      <c r="H1059">
        <v>4152.5</v>
      </c>
    </row>
    <row r="1060" spans="1:8" x14ac:dyDescent="0.2">
      <c r="A1060" s="2">
        <v>45636</v>
      </c>
      <c r="B1060">
        <v>116</v>
      </c>
      <c r="C1060">
        <v>44</v>
      </c>
      <c r="D1060">
        <v>66</v>
      </c>
      <c r="E1060">
        <v>226</v>
      </c>
      <c r="F1060">
        <v>96</v>
      </c>
      <c r="G1060">
        <v>27.95</v>
      </c>
      <c r="H1060">
        <v>6317.3</v>
      </c>
    </row>
    <row r="1061" spans="1:8" x14ac:dyDescent="0.2">
      <c r="A1061" s="2">
        <v>45637</v>
      </c>
      <c r="B1061">
        <v>130</v>
      </c>
      <c r="C1061">
        <v>25</v>
      </c>
      <c r="D1061">
        <v>60</v>
      </c>
      <c r="E1061">
        <v>221</v>
      </c>
      <c r="F1061">
        <v>99</v>
      </c>
      <c r="G1061">
        <v>29.13</v>
      </c>
      <c r="H1061">
        <v>6436.68</v>
      </c>
    </row>
    <row r="1062" spans="1:8" x14ac:dyDescent="0.2">
      <c r="A1062" s="2">
        <v>45638</v>
      </c>
      <c r="B1062">
        <v>174</v>
      </c>
      <c r="C1062">
        <v>35</v>
      </c>
      <c r="D1062">
        <v>66</v>
      </c>
      <c r="E1062">
        <v>275</v>
      </c>
      <c r="F1062">
        <v>91</v>
      </c>
      <c r="G1062">
        <v>26.47</v>
      </c>
      <c r="H1062">
        <v>7278.07</v>
      </c>
    </row>
    <row r="1063" spans="1:8" x14ac:dyDescent="0.2">
      <c r="A1063" s="2">
        <v>45639</v>
      </c>
      <c r="B1063">
        <v>241</v>
      </c>
      <c r="C1063">
        <v>37</v>
      </c>
      <c r="D1063">
        <v>62</v>
      </c>
      <c r="E1063">
        <v>340</v>
      </c>
      <c r="F1063">
        <v>92</v>
      </c>
      <c r="G1063">
        <v>27.68</v>
      </c>
      <c r="H1063">
        <v>9412.59</v>
      </c>
    </row>
    <row r="1064" spans="1:8" x14ac:dyDescent="0.2">
      <c r="A1064" s="2">
        <v>45640</v>
      </c>
      <c r="B1064">
        <v>344</v>
      </c>
      <c r="C1064">
        <v>29</v>
      </c>
      <c r="D1064">
        <v>82</v>
      </c>
      <c r="E1064">
        <v>455</v>
      </c>
      <c r="F1064">
        <v>90</v>
      </c>
      <c r="G1064">
        <v>25.47</v>
      </c>
      <c r="H1064">
        <v>11590.28</v>
      </c>
    </row>
    <row r="1065" spans="1:8" x14ac:dyDescent="0.2">
      <c r="A1065" s="2">
        <v>45641</v>
      </c>
      <c r="B1065">
        <v>90</v>
      </c>
      <c r="C1065">
        <v>35</v>
      </c>
      <c r="D1065">
        <v>69</v>
      </c>
      <c r="E1065">
        <v>194</v>
      </c>
      <c r="F1065">
        <v>77</v>
      </c>
      <c r="G1065">
        <v>28.05</v>
      </c>
      <c r="H1065">
        <v>5441.19</v>
      </c>
    </row>
    <row r="1066" spans="1:8" x14ac:dyDescent="0.2">
      <c r="A1066" s="2">
        <v>45642</v>
      </c>
      <c r="B1066">
        <v>112</v>
      </c>
      <c r="C1066">
        <v>35</v>
      </c>
      <c r="D1066">
        <v>110</v>
      </c>
      <c r="E1066">
        <v>257</v>
      </c>
      <c r="F1066">
        <v>87</v>
      </c>
      <c r="G1066">
        <v>18.66</v>
      </c>
      <c r="H1066">
        <v>4795.5200000000004</v>
      </c>
    </row>
    <row r="1067" spans="1:8" x14ac:dyDescent="0.2">
      <c r="A1067" s="2">
        <v>45643</v>
      </c>
      <c r="B1067">
        <v>93</v>
      </c>
      <c r="C1067">
        <v>18</v>
      </c>
      <c r="D1067">
        <v>63</v>
      </c>
      <c r="E1067">
        <v>174</v>
      </c>
      <c r="F1067">
        <v>82</v>
      </c>
      <c r="G1067">
        <v>21.64</v>
      </c>
      <c r="H1067">
        <v>3766.17</v>
      </c>
    </row>
    <row r="1068" spans="1:8" x14ac:dyDescent="0.2">
      <c r="A1068" s="2">
        <v>45644</v>
      </c>
      <c r="B1068">
        <v>119</v>
      </c>
      <c r="C1068">
        <v>26</v>
      </c>
      <c r="D1068">
        <v>57</v>
      </c>
      <c r="E1068">
        <v>202</v>
      </c>
      <c r="F1068">
        <v>98</v>
      </c>
      <c r="G1068">
        <v>30.49</v>
      </c>
      <c r="H1068">
        <v>6159.15</v>
      </c>
    </row>
    <row r="1069" spans="1:8" x14ac:dyDescent="0.2">
      <c r="A1069" s="2">
        <v>45645</v>
      </c>
      <c r="B1069">
        <v>147</v>
      </c>
      <c r="C1069">
        <v>24</v>
      </c>
      <c r="D1069">
        <v>57</v>
      </c>
      <c r="E1069">
        <v>228</v>
      </c>
      <c r="F1069">
        <v>86</v>
      </c>
      <c r="G1069">
        <v>22.85</v>
      </c>
      <c r="H1069">
        <v>5209.6099999999997</v>
      </c>
    </row>
    <row r="1070" spans="1:8" x14ac:dyDescent="0.2">
      <c r="A1070" s="2">
        <v>45646</v>
      </c>
      <c r="B1070">
        <v>196</v>
      </c>
      <c r="C1070">
        <v>38</v>
      </c>
      <c r="D1070">
        <v>53</v>
      </c>
      <c r="E1070">
        <v>287</v>
      </c>
      <c r="F1070">
        <v>94</v>
      </c>
      <c r="G1070">
        <v>22.94</v>
      </c>
      <c r="H1070">
        <v>6582.54</v>
      </c>
    </row>
    <row r="1071" spans="1:8" x14ac:dyDescent="0.2">
      <c r="A1071" s="2">
        <v>45647</v>
      </c>
      <c r="B1071">
        <v>274</v>
      </c>
      <c r="C1071">
        <v>16</v>
      </c>
      <c r="D1071">
        <v>62</v>
      </c>
      <c r="E1071">
        <v>352</v>
      </c>
      <c r="F1071">
        <v>88</v>
      </c>
      <c r="G1071">
        <v>24.79</v>
      </c>
      <c r="H1071">
        <v>8726.85</v>
      </c>
    </row>
    <row r="1072" spans="1:8" x14ac:dyDescent="0.2">
      <c r="A1072" s="2">
        <v>45648</v>
      </c>
      <c r="B1072">
        <v>115</v>
      </c>
      <c r="C1072">
        <v>37</v>
      </c>
      <c r="D1072">
        <v>65</v>
      </c>
      <c r="E1072">
        <v>217</v>
      </c>
      <c r="F1072">
        <v>87</v>
      </c>
      <c r="G1072">
        <v>27.7</v>
      </c>
      <c r="H1072">
        <v>6011.95</v>
      </c>
    </row>
    <row r="1073" spans="1:8" x14ac:dyDescent="0.2">
      <c r="A1073" s="2">
        <v>45649</v>
      </c>
      <c r="B1073">
        <v>100</v>
      </c>
      <c r="C1073">
        <v>32</v>
      </c>
      <c r="D1073">
        <v>78</v>
      </c>
      <c r="E1073">
        <v>210</v>
      </c>
      <c r="F1073">
        <v>86</v>
      </c>
      <c r="G1073">
        <v>23.12</v>
      </c>
      <c r="H1073">
        <v>4854.84</v>
      </c>
    </row>
    <row r="1074" spans="1:8" x14ac:dyDescent="0.2">
      <c r="A1074" s="2">
        <v>45650</v>
      </c>
      <c r="B1074">
        <v>137</v>
      </c>
      <c r="C1074">
        <v>4</v>
      </c>
      <c r="D1074">
        <v>46</v>
      </c>
      <c r="E1074">
        <v>187</v>
      </c>
      <c r="F1074">
        <v>83</v>
      </c>
      <c r="G1074">
        <v>28.8</v>
      </c>
      <c r="H1074">
        <v>5385.83</v>
      </c>
    </row>
    <row r="1075" spans="1:8" x14ac:dyDescent="0.2">
      <c r="A1075" s="2">
        <v>45653</v>
      </c>
      <c r="B1075">
        <v>108</v>
      </c>
      <c r="C1075">
        <v>37</v>
      </c>
      <c r="D1075">
        <v>97</v>
      </c>
      <c r="E1075">
        <v>242</v>
      </c>
      <c r="F1075">
        <v>82</v>
      </c>
      <c r="G1075">
        <v>24.45</v>
      </c>
      <c r="H1075">
        <v>5916.54</v>
      </c>
    </row>
    <row r="1076" spans="1:8" x14ac:dyDescent="0.2">
      <c r="A1076" s="2">
        <v>45654</v>
      </c>
      <c r="B1076">
        <v>172</v>
      </c>
      <c r="C1076">
        <v>53</v>
      </c>
      <c r="D1076">
        <v>80</v>
      </c>
      <c r="E1076">
        <v>313</v>
      </c>
      <c r="F1076">
        <v>90</v>
      </c>
      <c r="G1076">
        <v>27.76</v>
      </c>
      <c r="H1076">
        <v>8687.82</v>
      </c>
    </row>
    <row r="1077" spans="1:8" x14ac:dyDescent="0.2">
      <c r="A1077" s="2">
        <v>45655</v>
      </c>
      <c r="B1077">
        <v>126</v>
      </c>
      <c r="C1077">
        <v>50</v>
      </c>
      <c r="D1077">
        <v>109</v>
      </c>
      <c r="E1077">
        <v>285</v>
      </c>
      <c r="F1077">
        <v>88</v>
      </c>
      <c r="G1077">
        <v>23.14</v>
      </c>
      <c r="H1077">
        <v>6594.62</v>
      </c>
    </row>
    <row r="1078" spans="1:8" x14ac:dyDescent="0.2">
      <c r="A1078" s="2">
        <v>45656</v>
      </c>
      <c r="B1078">
        <v>112</v>
      </c>
      <c r="C1078">
        <v>35</v>
      </c>
      <c r="D1078">
        <v>103</v>
      </c>
      <c r="E1078">
        <v>250</v>
      </c>
      <c r="F1078">
        <v>88</v>
      </c>
      <c r="G1078">
        <v>20.84</v>
      </c>
      <c r="H1078">
        <v>5210.33</v>
      </c>
    </row>
    <row r="1079" spans="1:8" x14ac:dyDescent="0.2">
      <c r="A1079" s="2">
        <v>45657</v>
      </c>
      <c r="B1079">
        <v>315</v>
      </c>
      <c r="C1079">
        <v>14</v>
      </c>
      <c r="D1079">
        <v>39</v>
      </c>
      <c r="E1079">
        <v>368</v>
      </c>
      <c r="F1079">
        <v>97</v>
      </c>
      <c r="G1079">
        <v>27.96</v>
      </c>
      <c r="H1079">
        <v>10288.94</v>
      </c>
    </row>
    <row r="1080" spans="1:8" x14ac:dyDescent="0.2">
      <c r="A1080" s="2">
        <v>45659</v>
      </c>
      <c r="B1080">
        <v>54</v>
      </c>
      <c r="C1080">
        <v>30</v>
      </c>
      <c r="D1080">
        <v>111</v>
      </c>
      <c r="E1080">
        <v>195</v>
      </c>
      <c r="F1080">
        <v>91</v>
      </c>
      <c r="G1080">
        <v>22.44</v>
      </c>
      <c r="H1080">
        <v>4375.9799999999996</v>
      </c>
    </row>
    <row r="1081" spans="1:8" x14ac:dyDescent="0.2">
      <c r="A1081" s="2">
        <v>45660</v>
      </c>
      <c r="B1081">
        <v>88</v>
      </c>
      <c r="C1081">
        <v>48</v>
      </c>
      <c r="D1081">
        <v>83</v>
      </c>
      <c r="E1081">
        <v>219</v>
      </c>
      <c r="F1081">
        <v>83</v>
      </c>
      <c r="G1081">
        <v>20.54</v>
      </c>
      <c r="H1081">
        <v>4498.45</v>
      </c>
    </row>
    <row r="1082" spans="1:8" x14ac:dyDescent="0.2">
      <c r="A1082" s="2">
        <v>45661</v>
      </c>
      <c r="B1082">
        <v>56</v>
      </c>
      <c r="C1082">
        <v>62</v>
      </c>
      <c r="D1082">
        <v>97</v>
      </c>
      <c r="E1082">
        <v>215</v>
      </c>
      <c r="F1082">
        <v>80</v>
      </c>
      <c r="G1082">
        <v>27.11</v>
      </c>
      <c r="H1082">
        <v>5829.38</v>
      </c>
    </row>
    <row r="1083" spans="1:8" x14ac:dyDescent="0.2">
      <c r="A1083" s="2">
        <v>45662</v>
      </c>
      <c r="B1083">
        <v>44</v>
      </c>
      <c r="C1083">
        <v>3</v>
      </c>
      <c r="D1083">
        <v>31</v>
      </c>
      <c r="E1083">
        <v>78</v>
      </c>
      <c r="F1083">
        <v>80</v>
      </c>
      <c r="G1083">
        <v>23.64</v>
      </c>
      <c r="H1083">
        <v>1844.1</v>
      </c>
    </row>
    <row r="1084" spans="1:8" x14ac:dyDescent="0.2">
      <c r="A1084" s="2">
        <v>45663</v>
      </c>
      <c r="B1084">
        <v>39</v>
      </c>
      <c r="C1084">
        <v>5</v>
      </c>
      <c r="D1084">
        <v>42</v>
      </c>
      <c r="E1084">
        <v>86</v>
      </c>
      <c r="F1084">
        <v>87</v>
      </c>
      <c r="G1084">
        <v>32.18</v>
      </c>
      <c r="H1084">
        <v>2767.79</v>
      </c>
    </row>
    <row r="1085" spans="1:8" x14ac:dyDescent="0.2">
      <c r="A1085" s="2">
        <v>45664</v>
      </c>
      <c r="B1085">
        <v>18</v>
      </c>
      <c r="C1085">
        <v>28</v>
      </c>
      <c r="D1085">
        <v>43</v>
      </c>
      <c r="E1085">
        <v>89</v>
      </c>
      <c r="F1085">
        <v>81</v>
      </c>
      <c r="G1085">
        <v>13.53</v>
      </c>
      <c r="H1085">
        <v>1204.55</v>
      </c>
    </row>
    <row r="1086" spans="1:8" x14ac:dyDescent="0.2">
      <c r="A1086" s="2">
        <v>45665</v>
      </c>
      <c r="B1086">
        <v>56</v>
      </c>
      <c r="C1086">
        <v>25</v>
      </c>
      <c r="D1086">
        <v>35</v>
      </c>
      <c r="E1086">
        <v>118</v>
      </c>
      <c r="F1086">
        <v>84</v>
      </c>
      <c r="G1086">
        <v>19.79</v>
      </c>
      <c r="H1086">
        <v>2335.2399999999998</v>
      </c>
    </row>
    <row r="1087" spans="1:8" x14ac:dyDescent="0.2">
      <c r="A1087" s="2">
        <v>45666</v>
      </c>
      <c r="B1087">
        <v>30</v>
      </c>
      <c r="C1087">
        <v>18</v>
      </c>
      <c r="D1087">
        <v>42</v>
      </c>
      <c r="E1087">
        <v>90</v>
      </c>
      <c r="F1087">
        <v>75</v>
      </c>
      <c r="G1087">
        <v>19.489999999999998</v>
      </c>
      <c r="H1087">
        <v>1754.13</v>
      </c>
    </row>
    <row r="1088" spans="1:8" x14ac:dyDescent="0.2">
      <c r="A1088" s="2">
        <v>45667</v>
      </c>
      <c r="B1088">
        <v>85</v>
      </c>
      <c r="C1088">
        <v>42</v>
      </c>
      <c r="D1088">
        <v>74</v>
      </c>
      <c r="E1088">
        <v>201</v>
      </c>
      <c r="F1088">
        <v>96</v>
      </c>
      <c r="G1088">
        <v>26.46</v>
      </c>
      <c r="H1088">
        <v>5318.72</v>
      </c>
    </row>
    <row r="1089" spans="1:8" x14ac:dyDescent="0.2">
      <c r="A1089" s="2">
        <v>45668</v>
      </c>
      <c r="B1089">
        <v>183</v>
      </c>
      <c r="C1089">
        <v>54</v>
      </c>
      <c r="D1089">
        <v>95</v>
      </c>
      <c r="E1089">
        <v>332</v>
      </c>
      <c r="F1089">
        <v>90</v>
      </c>
      <c r="G1089">
        <v>25.94</v>
      </c>
      <c r="H1089">
        <v>8612.2900000000009</v>
      </c>
    </row>
    <row r="1090" spans="1:8" x14ac:dyDescent="0.2">
      <c r="A1090" s="2">
        <v>45669</v>
      </c>
      <c r="B1090">
        <v>61</v>
      </c>
      <c r="C1090">
        <v>25</v>
      </c>
      <c r="D1090">
        <v>59</v>
      </c>
      <c r="E1090">
        <v>145</v>
      </c>
      <c r="F1090">
        <v>72</v>
      </c>
      <c r="G1090">
        <v>23.7</v>
      </c>
      <c r="H1090">
        <v>3436.75</v>
      </c>
    </row>
    <row r="1091" spans="1:8" x14ac:dyDescent="0.2">
      <c r="A1091" s="2">
        <v>45674</v>
      </c>
      <c r="B1091">
        <v>55</v>
      </c>
      <c r="C1091">
        <v>23</v>
      </c>
      <c r="D1091">
        <v>42</v>
      </c>
      <c r="E1091">
        <v>120</v>
      </c>
      <c r="F1091">
        <v>95</v>
      </c>
      <c r="G1091">
        <v>30.61</v>
      </c>
      <c r="H1091">
        <v>3673.21</v>
      </c>
    </row>
    <row r="1092" spans="1:8" x14ac:dyDescent="0.2">
      <c r="A1092" s="2">
        <v>45675</v>
      </c>
      <c r="B1092">
        <v>260</v>
      </c>
      <c r="C1092">
        <v>27</v>
      </c>
      <c r="D1092">
        <v>96</v>
      </c>
      <c r="E1092">
        <v>383</v>
      </c>
      <c r="F1092">
        <v>96</v>
      </c>
      <c r="G1092">
        <v>26.15</v>
      </c>
      <c r="H1092">
        <v>10016.040000000001</v>
      </c>
    </row>
    <row r="1093" spans="1:8" x14ac:dyDescent="0.2">
      <c r="A1093" s="2">
        <v>45676</v>
      </c>
      <c r="B1093">
        <v>58</v>
      </c>
      <c r="C1093">
        <v>33</v>
      </c>
      <c r="D1093">
        <v>79</v>
      </c>
      <c r="E1093">
        <v>170</v>
      </c>
      <c r="F1093">
        <v>75</v>
      </c>
      <c r="G1093">
        <v>19.489999999999998</v>
      </c>
      <c r="H1093">
        <v>3313.6</v>
      </c>
    </row>
    <row r="1094" spans="1:8" x14ac:dyDescent="0.2">
      <c r="A1094" s="2">
        <v>45677</v>
      </c>
      <c r="B1094">
        <v>18</v>
      </c>
      <c r="C1094">
        <v>17</v>
      </c>
      <c r="D1094">
        <v>47</v>
      </c>
      <c r="E1094">
        <v>82</v>
      </c>
      <c r="F1094">
        <v>75</v>
      </c>
      <c r="G1094">
        <v>22.2</v>
      </c>
      <c r="H1094">
        <v>1820.68</v>
      </c>
    </row>
    <row r="1095" spans="1:8" x14ac:dyDescent="0.2">
      <c r="A1095" s="2">
        <v>45678</v>
      </c>
      <c r="B1095">
        <v>34</v>
      </c>
      <c r="C1095">
        <v>23</v>
      </c>
      <c r="D1095">
        <v>53</v>
      </c>
      <c r="E1095">
        <v>110</v>
      </c>
      <c r="F1095">
        <v>82</v>
      </c>
      <c r="G1095">
        <v>19.47</v>
      </c>
      <c r="H1095">
        <v>2142.21</v>
      </c>
    </row>
    <row r="1096" spans="1:8" x14ac:dyDescent="0.2">
      <c r="A1096" s="2">
        <v>45679</v>
      </c>
      <c r="B1096">
        <v>95</v>
      </c>
      <c r="C1096">
        <v>50</v>
      </c>
      <c r="D1096">
        <v>51</v>
      </c>
      <c r="E1096">
        <v>196</v>
      </c>
      <c r="F1096">
        <v>96</v>
      </c>
      <c r="G1096">
        <v>19.61</v>
      </c>
      <c r="H1096">
        <v>3844.51</v>
      </c>
    </row>
    <row r="1097" spans="1:8" x14ac:dyDescent="0.2">
      <c r="A1097" s="2">
        <v>45680</v>
      </c>
      <c r="B1097">
        <v>69</v>
      </c>
      <c r="C1097">
        <v>11</v>
      </c>
      <c r="D1097">
        <v>40</v>
      </c>
      <c r="E1097">
        <v>122</v>
      </c>
      <c r="F1097">
        <v>83</v>
      </c>
      <c r="G1097">
        <v>24.97</v>
      </c>
      <c r="H1097">
        <v>3046.47</v>
      </c>
    </row>
    <row r="1098" spans="1:8" x14ac:dyDescent="0.2">
      <c r="A1098" s="2">
        <v>45681</v>
      </c>
      <c r="B1098">
        <v>101</v>
      </c>
      <c r="C1098">
        <v>29</v>
      </c>
      <c r="D1098">
        <v>36</v>
      </c>
      <c r="E1098">
        <v>174</v>
      </c>
      <c r="F1098">
        <v>84</v>
      </c>
      <c r="G1098">
        <v>25.66</v>
      </c>
      <c r="H1098">
        <v>4465.28</v>
      </c>
    </row>
    <row r="1099" spans="1:8" x14ac:dyDescent="0.2">
      <c r="A1099" s="2">
        <v>45682</v>
      </c>
      <c r="B1099">
        <v>176</v>
      </c>
      <c r="C1099">
        <v>60</v>
      </c>
      <c r="D1099">
        <v>99</v>
      </c>
      <c r="E1099">
        <v>335</v>
      </c>
      <c r="F1099">
        <v>89</v>
      </c>
      <c r="G1099">
        <v>31.82</v>
      </c>
      <c r="H1099">
        <v>10658.33</v>
      </c>
    </row>
    <row r="1100" spans="1:8" x14ac:dyDescent="0.2">
      <c r="A1100" s="2">
        <v>45683</v>
      </c>
      <c r="B1100">
        <v>88</v>
      </c>
      <c r="C1100">
        <v>14</v>
      </c>
      <c r="D1100">
        <v>56</v>
      </c>
      <c r="E1100">
        <v>158</v>
      </c>
      <c r="F1100">
        <v>83</v>
      </c>
      <c r="G1100">
        <v>20.52</v>
      </c>
      <c r="H1100">
        <v>3242.35</v>
      </c>
    </row>
    <row r="1101" spans="1:8" x14ac:dyDescent="0.2">
      <c r="A1101" s="2">
        <v>45684</v>
      </c>
      <c r="B1101">
        <v>23</v>
      </c>
      <c r="C1101">
        <v>5</v>
      </c>
      <c r="D1101">
        <v>71</v>
      </c>
      <c r="E1101">
        <v>99</v>
      </c>
      <c r="F1101">
        <v>80</v>
      </c>
      <c r="G1101">
        <v>18.809999999999999</v>
      </c>
      <c r="H1101">
        <v>1862.25</v>
      </c>
    </row>
    <row r="1102" spans="1:8" x14ac:dyDescent="0.2">
      <c r="A1102" s="2">
        <v>45685</v>
      </c>
      <c r="B1102">
        <v>36</v>
      </c>
      <c r="C1102">
        <v>25</v>
      </c>
      <c r="D1102">
        <v>64</v>
      </c>
      <c r="E1102">
        <v>125</v>
      </c>
      <c r="F1102">
        <v>83</v>
      </c>
      <c r="G1102">
        <v>20.94</v>
      </c>
      <c r="H1102">
        <v>2618.0100000000002</v>
      </c>
    </row>
    <row r="1103" spans="1:8" x14ac:dyDescent="0.2">
      <c r="A1103" s="2">
        <v>45686</v>
      </c>
      <c r="B1103">
        <v>57</v>
      </c>
      <c r="C1103">
        <v>8</v>
      </c>
      <c r="D1103">
        <v>50</v>
      </c>
      <c r="E1103">
        <v>115</v>
      </c>
      <c r="F1103">
        <v>92</v>
      </c>
      <c r="G1103">
        <v>23.58</v>
      </c>
      <c r="H1103">
        <v>2712.04</v>
      </c>
    </row>
    <row r="1104" spans="1:8" x14ac:dyDescent="0.2">
      <c r="A1104" s="2">
        <v>45687</v>
      </c>
      <c r="B1104">
        <v>108</v>
      </c>
      <c r="C1104">
        <v>10</v>
      </c>
      <c r="D1104">
        <v>51</v>
      </c>
      <c r="E1104">
        <v>169</v>
      </c>
      <c r="F1104">
        <v>84</v>
      </c>
      <c r="G1104">
        <v>21</v>
      </c>
      <c r="H1104">
        <v>3548.61</v>
      </c>
    </row>
    <row r="1105" spans="1:8" x14ac:dyDescent="0.2">
      <c r="A1105" s="2">
        <v>45688</v>
      </c>
      <c r="B1105">
        <v>137</v>
      </c>
      <c r="C1105">
        <v>47</v>
      </c>
      <c r="D1105">
        <v>76</v>
      </c>
      <c r="E1105">
        <v>260</v>
      </c>
      <c r="F1105">
        <v>86</v>
      </c>
      <c r="G1105">
        <v>27.31</v>
      </c>
      <c r="H1105">
        <v>7099.46</v>
      </c>
    </row>
    <row r="1106" spans="1:8" x14ac:dyDescent="0.2">
      <c r="A1106" s="2">
        <v>45689</v>
      </c>
      <c r="B1106">
        <v>267</v>
      </c>
      <c r="C1106">
        <v>56</v>
      </c>
      <c r="D1106">
        <v>149</v>
      </c>
      <c r="E1106">
        <v>472</v>
      </c>
      <c r="F1106">
        <v>83</v>
      </c>
      <c r="G1106">
        <v>28.4</v>
      </c>
      <c r="H1106">
        <v>13403.27</v>
      </c>
    </row>
    <row r="1107" spans="1:8" x14ac:dyDescent="0.2">
      <c r="A1107" s="2">
        <v>45690</v>
      </c>
      <c r="B1107">
        <v>100</v>
      </c>
      <c r="C1107">
        <v>31</v>
      </c>
      <c r="D1107">
        <v>99</v>
      </c>
      <c r="E1107">
        <v>230</v>
      </c>
      <c r="F1107">
        <v>81</v>
      </c>
      <c r="G1107">
        <v>18.82</v>
      </c>
      <c r="H1107">
        <v>4328.42</v>
      </c>
    </row>
    <row r="1108" spans="1:8" x14ac:dyDescent="0.2">
      <c r="A1108" s="2">
        <v>45691</v>
      </c>
      <c r="B1108">
        <v>51</v>
      </c>
      <c r="C1108">
        <v>20</v>
      </c>
      <c r="D1108">
        <v>44</v>
      </c>
      <c r="E1108">
        <v>115</v>
      </c>
      <c r="F1108">
        <v>81</v>
      </c>
      <c r="G1108">
        <v>23.59</v>
      </c>
      <c r="H1108">
        <v>2713.15</v>
      </c>
    </row>
    <row r="1109" spans="1:8" x14ac:dyDescent="0.2">
      <c r="A1109" s="2">
        <v>45692</v>
      </c>
      <c r="B1109">
        <v>7</v>
      </c>
      <c r="C1109">
        <v>10</v>
      </c>
      <c r="D1109">
        <v>43</v>
      </c>
      <c r="E1109">
        <v>66</v>
      </c>
      <c r="F1109">
        <v>77</v>
      </c>
      <c r="G1109">
        <v>15.41</v>
      </c>
      <c r="H1109">
        <v>1017.34</v>
      </c>
    </row>
    <row r="1110" spans="1:8" x14ac:dyDescent="0.2">
      <c r="A1110" s="2">
        <v>45693</v>
      </c>
      <c r="B1110">
        <v>57</v>
      </c>
      <c r="C1110">
        <v>4</v>
      </c>
      <c r="D1110">
        <v>47</v>
      </c>
      <c r="E1110">
        <v>108</v>
      </c>
      <c r="F1110">
        <v>88</v>
      </c>
      <c r="G1110">
        <v>15.85</v>
      </c>
      <c r="H1110">
        <v>1711.82</v>
      </c>
    </row>
    <row r="1111" spans="1:8" x14ac:dyDescent="0.2">
      <c r="A1111" s="2">
        <v>45694</v>
      </c>
      <c r="B1111">
        <v>29</v>
      </c>
      <c r="C1111">
        <v>11</v>
      </c>
      <c r="D1111">
        <v>32</v>
      </c>
      <c r="E1111">
        <v>72</v>
      </c>
      <c r="F1111">
        <v>91</v>
      </c>
      <c r="G1111">
        <v>20.45</v>
      </c>
      <c r="H1111">
        <v>1472.61</v>
      </c>
    </row>
    <row r="1112" spans="1:8" x14ac:dyDescent="0.2">
      <c r="A1112" s="2">
        <v>45695</v>
      </c>
      <c r="B1112">
        <v>123</v>
      </c>
      <c r="C1112">
        <v>14</v>
      </c>
      <c r="D1112">
        <v>68</v>
      </c>
      <c r="E1112">
        <v>210</v>
      </c>
      <c r="F1112">
        <v>88</v>
      </c>
      <c r="G1112">
        <v>27.62</v>
      </c>
      <c r="H1112">
        <v>5801.05</v>
      </c>
    </row>
    <row r="1113" spans="1:8" x14ac:dyDescent="0.2">
      <c r="A1113" s="2">
        <v>45696</v>
      </c>
      <c r="B1113">
        <v>263</v>
      </c>
      <c r="C1113">
        <v>31</v>
      </c>
      <c r="D1113">
        <v>90</v>
      </c>
      <c r="E1113">
        <v>384</v>
      </c>
      <c r="F1113">
        <v>87</v>
      </c>
      <c r="G1113">
        <v>30.88</v>
      </c>
      <c r="H1113">
        <v>11856.35</v>
      </c>
    </row>
    <row r="1114" spans="1:8" x14ac:dyDescent="0.2">
      <c r="A1114" s="2">
        <v>45697</v>
      </c>
      <c r="B1114">
        <v>88</v>
      </c>
      <c r="C1114">
        <v>25</v>
      </c>
      <c r="D1114">
        <v>45</v>
      </c>
      <c r="E1114">
        <v>167</v>
      </c>
      <c r="F1114">
        <v>90</v>
      </c>
      <c r="G1114">
        <v>16.84</v>
      </c>
      <c r="H1114">
        <v>2811.56</v>
      </c>
    </row>
    <row r="1115" spans="1:8" x14ac:dyDescent="0.2">
      <c r="A1115" s="2">
        <v>45698</v>
      </c>
      <c r="B1115">
        <v>36</v>
      </c>
      <c r="C1115">
        <v>6</v>
      </c>
      <c r="D1115">
        <v>62</v>
      </c>
      <c r="E1115">
        <v>104</v>
      </c>
      <c r="F1115">
        <v>81</v>
      </c>
      <c r="G1115">
        <v>18.72</v>
      </c>
      <c r="H1115">
        <v>1947.18</v>
      </c>
    </row>
    <row r="1116" spans="1:8" x14ac:dyDescent="0.2">
      <c r="A1116" s="2">
        <v>45699</v>
      </c>
      <c r="B1116">
        <v>23</v>
      </c>
      <c r="C1116">
        <v>18</v>
      </c>
      <c r="D1116">
        <v>54</v>
      </c>
      <c r="E1116">
        <v>95</v>
      </c>
      <c r="F1116">
        <v>87</v>
      </c>
      <c r="G1116">
        <v>27.46</v>
      </c>
      <c r="H1116">
        <v>2608.88</v>
      </c>
    </row>
    <row r="1117" spans="1:8" x14ac:dyDescent="0.2">
      <c r="A1117" s="2">
        <v>45700</v>
      </c>
      <c r="B1117">
        <v>31</v>
      </c>
      <c r="C1117">
        <v>30</v>
      </c>
      <c r="D1117">
        <v>47</v>
      </c>
      <c r="E1117">
        <v>110</v>
      </c>
      <c r="F1117">
        <v>91</v>
      </c>
      <c r="G1117">
        <v>24.67</v>
      </c>
      <c r="H1117">
        <v>2713.54</v>
      </c>
    </row>
    <row r="1118" spans="1:8" x14ac:dyDescent="0.2">
      <c r="A1118" s="2">
        <v>45701</v>
      </c>
      <c r="B1118">
        <v>65</v>
      </c>
      <c r="C1118">
        <v>24</v>
      </c>
      <c r="D1118">
        <v>40</v>
      </c>
      <c r="E1118">
        <v>129</v>
      </c>
      <c r="F1118">
        <v>94</v>
      </c>
      <c r="G1118">
        <v>23.96</v>
      </c>
      <c r="H1118">
        <v>3091.22</v>
      </c>
    </row>
    <row r="1119" spans="1:8" x14ac:dyDescent="0.2">
      <c r="A1119" s="2">
        <v>45702</v>
      </c>
      <c r="B1119">
        <v>211</v>
      </c>
      <c r="C1119">
        <v>33</v>
      </c>
      <c r="D1119">
        <v>73</v>
      </c>
      <c r="E1119">
        <v>317</v>
      </c>
      <c r="F1119">
        <v>87</v>
      </c>
      <c r="G1119">
        <v>28.26</v>
      </c>
      <c r="H1119">
        <v>8958.15</v>
      </c>
    </row>
    <row r="1120" spans="1:8" x14ac:dyDescent="0.2">
      <c r="A1120" s="2">
        <v>45703</v>
      </c>
      <c r="B1120">
        <v>253</v>
      </c>
      <c r="C1120">
        <v>57</v>
      </c>
      <c r="D1120">
        <v>102</v>
      </c>
      <c r="E1120">
        <v>412</v>
      </c>
      <c r="F1120">
        <v>89</v>
      </c>
      <c r="G1120">
        <v>31.59</v>
      </c>
      <c r="H1120">
        <v>13016.94</v>
      </c>
    </row>
    <row r="1121" spans="1:8" x14ac:dyDescent="0.2">
      <c r="A1121" s="2">
        <v>45704</v>
      </c>
      <c r="B1121">
        <v>155</v>
      </c>
      <c r="C1121">
        <v>49</v>
      </c>
      <c r="D1121">
        <v>81</v>
      </c>
      <c r="E1121">
        <v>285</v>
      </c>
      <c r="F1121">
        <v>85</v>
      </c>
      <c r="G1121">
        <v>20.14</v>
      </c>
      <c r="H1121">
        <v>5741.18</v>
      </c>
    </row>
    <row r="1122" spans="1:8" x14ac:dyDescent="0.2">
      <c r="A1122" s="2">
        <v>45705</v>
      </c>
      <c r="B1122">
        <v>51</v>
      </c>
      <c r="C1122">
        <v>38</v>
      </c>
      <c r="D1122">
        <v>107</v>
      </c>
      <c r="E1122">
        <v>196</v>
      </c>
      <c r="F1122">
        <v>81</v>
      </c>
      <c r="G1122">
        <v>23.11</v>
      </c>
      <c r="H1122">
        <v>4529.1899999999996</v>
      </c>
    </row>
    <row r="1123" spans="1:8" x14ac:dyDescent="0.2">
      <c r="A1123" s="2">
        <v>45706</v>
      </c>
      <c r="B1123">
        <v>61</v>
      </c>
      <c r="C1123">
        <v>24</v>
      </c>
      <c r="D1123">
        <v>89</v>
      </c>
      <c r="E1123">
        <v>174</v>
      </c>
      <c r="F1123">
        <v>88</v>
      </c>
      <c r="G1123">
        <v>26.39</v>
      </c>
      <c r="H1123">
        <v>4591.24</v>
      </c>
    </row>
    <row r="1124" spans="1:8" x14ac:dyDescent="0.2">
      <c r="A1124" s="2">
        <v>45707</v>
      </c>
      <c r="B1124">
        <v>83</v>
      </c>
      <c r="C1124">
        <v>36</v>
      </c>
      <c r="D1124">
        <v>87</v>
      </c>
      <c r="E1124">
        <v>206</v>
      </c>
      <c r="F1124">
        <v>82</v>
      </c>
      <c r="G1124">
        <v>26.78</v>
      </c>
      <c r="H1124">
        <v>5515.78</v>
      </c>
    </row>
    <row r="1125" spans="1:8" x14ac:dyDescent="0.2">
      <c r="A1125" s="2">
        <v>45708</v>
      </c>
      <c r="B1125">
        <v>91</v>
      </c>
      <c r="C1125">
        <v>54</v>
      </c>
      <c r="D1125">
        <v>78</v>
      </c>
      <c r="E1125">
        <v>223</v>
      </c>
      <c r="F1125">
        <v>90</v>
      </c>
      <c r="G1125">
        <v>26.13</v>
      </c>
      <c r="H1125">
        <v>5827.39</v>
      </c>
    </row>
    <row r="1126" spans="1:8" x14ac:dyDescent="0.2">
      <c r="A1126" s="2">
        <v>45709</v>
      </c>
      <c r="B1126">
        <v>151</v>
      </c>
      <c r="C1126">
        <v>52</v>
      </c>
      <c r="D1126">
        <v>86</v>
      </c>
      <c r="E1126">
        <v>289</v>
      </c>
      <c r="F1126">
        <v>87</v>
      </c>
      <c r="G1126">
        <v>31.33</v>
      </c>
      <c r="H1126">
        <v>9054.06</v>
      </c>
    </row>
    <row r="1127" spans="1:8" x14ac:dyDescent="0.2">
      <c r="A1127" s="2">
        <v>45710</v>
      </c>
      <c r="B1127">
        <v>217</v>
      </c>
      <c r="C1127">
        <v>48</v>
      </c>
      <c r="D1127">
        <v>132</v>
      </c>
      <c r="E1127">
        <v>399</v>
      </c>
      <c r="F1127">
        <v>87</v>
      </c>
      <c r="G1127">
        <v>26.89</v>
      </c>
      <c r="H1127">
        <v>10727.57</v>
      </c>
    </row>
    <row r="1128" spans="1:8" x14ac:dyDescent="0.2">
      <c r="A1128" s="2">
        <v>45711</v>
      </c>
      <c r="B1128">
        <v>68</v>
      </c>
      <c r="C1128">
        <v>18</v>
      </c>
      <c r="D1128">
        <v>70</v>
      </c>
      <c r="E1128">
        <v>156</v>
      </c>
      <c r="F1128">
        <v>85</v>
      </c>
      <c r="G1128">
        <v>17.079999999999998</v>
      </c>
      <c r="H1128">
        <v>2664.52</v>
      </c>
    </row>
    <row r="1129" spans="1:8" x14ac:dyDescent="0.2">
      <c r="A1129" s="2">
        <v>45712</v>
      </c>
      <c r="B1129">
        <v>39</v>
      </c>
      <c r="C1129">
        <v>12</v>
      </c>
      <c r="D1129">
        <v>38</v>
      </c>
      <c r="E1129">
        <v>89</v>
      </c>
      <c r="F1129">
        <v>95</v>
      </c>
      <c r="G1129">
        <v>25.75</v>
      </c>
      <c r="H1129">
        <v>2292.13</v>
      </c>
    </row>
    <row r="1130" spans="1:8" x14ac:dyDescent="0.2">
      <c r="A1130" s="2">
        <v>45713</v>
      </c>
      <c r="B1130">
        <v>90</v>
      </c>
      <c r="C1130">
        <v>17</v>
      </c>
      <c r="D1130">
        <v>62</v>
      </c>
      <c r="E1130">
        <v>171</v>
      </c>
      <c r="F1130">
        <v>90</v>
      </c>
      <c r="G1130">
        <v>22.96</v>
      </c>
      <c r="H1130">
        <v>3926.64</v>
      </c>
    </row>
    <row r="1131" spans="1:8" x14ac:dyDescent="0.2">
      <c r="A1131" s="2">
        <v>45714</v>
      </c>
      <c r="B1131">
        <v>45</v>
      </c>
      <c r="C1131">
        <v>14</v>
      </c>
      <c r="D1131">
        <v>42</v>
      </c>
      <c r="E1131">
        <v>101</v>
      </c>
      <c r="F1131">
        <v>89</v>
      </c>
      <c r="G1131">
        <v>23.15</v>
      </c>
      <c r="H1131">
        <v>2337.9299999999998</v>
      </c>
    </row>
    <row r="1132" spans="1:8" x14ac:dyDescent="0.2">
      <c r="A1132" s="2">
        <v>45715</v>
      </c>
      <c r="B1132">
        <v>46</v>
      </c>
      <c r="C1132">
        <v>19</v>
      </c>
      <c r="D1132">
        <v>58</v>
      </c>
      <c r="E1132">
        <v>123</v>
      </c>
      <c r="F1132">
        <v>89</v>
      </c>
      <c r="G1132">
        <v>27.74</v>
      </c>
      <c r="H1132">
        <v>3411.69</v>
      </c>
    </row>
    <row r="1133" spans="1:8" x14ac:dyDescent="0.2">
      <c r="A1133" s="2">
        <v>45716</v>
      </c>
      <c r="B1133">
        <v>114</v>
      </c>
      <c r="C1133">
        <v>35</v>
      </c>
      <c r="D1133">
        <v>95</v>
      </c>
      <c r="E1133">
        <v>249</v>
      </c>
      <c r="F1133">
        <v>88</v>
      </c>
      <c r="G1133">
        <v>27.53</v>
      </c>
      <c r="H1133">
        <v>6855.35</v>
      </c>
    </row>
    <row r="1134" spans="1:8" x14ac:dyDescent="0.2">
      <c r="A1134" s="2">
        <v>45717</v>
      </c>
      <c r="B1134">
        <v>268</v>
      </c>
      <c r="C1134">
        <v>55</v>
      </c>
      <c r="D1134">
        <v>132</v>
      </c>
      <c r="E1134">
        <v>459</v>
      </c>
      <c r="F1134">
        <v>88</v>
      </c>
      <c r="G1134">
        <v>22.82</v>
      </c>
      <c r="H1134">
        <v>10472.48</v>
      </c>
    </row>
    <row r="1135" spans="1:8" x14ac:dyDescent="0.2">
      <c r="A1135" s="2">
        <v>45718</v>
      </c>
      <c r="B1135">
        <v>51</v>
      </c>
      <c r="C1135">
        <v>14</v>
      </c>
      <c r="D1135">
        <v>74</v>
      </c>
      <c r="E1135">
        <v>141</v>
      </c>
      <c r="F1135">
        <v>85</v>
      </c>
      <c r="G1135">
        <v>25.16</v>
      </c>
      <c r="H1135">
        <v>3547.99</v>
      </c>
    </row>
    <row r="1136" spans="1:8" x14ac:dyDescent="0.2">
      <c r="A1136" s="2">
        <v>45719</v>
      </c>
      <c r="B1136">
        <v>19</v>
      </c>
      <c r="C1136">
        <v>11</v>
      </c>
      <c r="D1136">
        <v>32</v>
      </c>
      <c r="E1136">
        <v>66</v>
      </c>
      <c r="F1136">
        <v>93</v>
      </c>
      <c r="G1136">
        <v>21.14</v>
      </c>
      <c r="H1136">
        <v>1395.07</v>
      </c>
    </row>
    <row r="1137" spans="1:8" x14ac:dyDescent="0.2">
      <c r="A1137" s="2">
        <v>45720</v>
      </c>
      <c r="B1137">
        <v>16</v>
      </c>
      <c r="C1137">
        <v>8</v>
      </c>
      <c r="D1137">
        <v>45</v>
      </c>
      <c r="E1137">
        <v>69</v>
      </c>
      <c r="F1137">
        <v>87</v>
      </c>
      <c r="G1137">
        <v>26.3</v>
      </c>
      <c r="H1137">
        <v>1814.85</v>
      </c>
    </row>
    <row r="1138" spans="1:8" x14ac:dyDescent="0.2">
      <c r="A1138" s="2">
        <v>45721</v>
      </c>
      <c r="B1138">
        <v>21</v>
      </c>
      <c r="C1138">
        <v>18</v>
      </c>
      <c r="D1138">
        <v>67</v>
      </c>
      <c r="E1138">
        <v>106</v>
      </c>
      <c r="F1138">
        <v>79</v>
      </c>
      <c r="G1138">
        <v>22.71</v>
      </c>
      <c r="H1138">
        <v>2406.7800000000002</v>
      </c>
    </row>
    <row r="1139" spans="1:8" x14ac:dyDescent="0.2">
      <c r="A1139" s="2">
        <v>45722</v>
      </c>
      <c r="B1139">
        <v>62</v>
      </c>
      <c r="C1139">
        <v>10</v>
      </c>
      <c r="D1139">
        <v>37</v>
      </c>
      <c r="E1139">
        <v>109</v>
      </c>
      <c r="F1139">
        <v>82</v>
      </c>
      <c r="G1139">
        <v>23.57</v>
      </c>
      <c r="H1139">
        <v>2569.31</v>
      </c>
    </row>
    <row r="1140" spans="1:8" x14ac:dyDescent="0.2">
      <c r="A1140" s="2">
        <v>45723</v>
      </c>
      <c r="B1140">
        <v>84</v>
      </c>
      <c r="C1140">
        <v>45</v>
      </c>
      <c r="D1140">
        <v>103</v>
      </c>
      <c r="E1140">
        <v>232</v>
      </c>
      <c r="F1140">
        <v>86</v>
      </c>
      <c r="G1140">
        <v>26.72</v>
      </c>
      <c r="H1140">
        <v>6198.42</v>
      </c>
    </row>
    <row r="1141" spans="1:8" x14ac:dyDescent="0.2">
      <c r="A1141" s="2">
        <v>45724</v>
      </c>
      <c r="B1141">
        <v>220</v>
      </c>
      <c r="C1141">
        <v>65</v>
      </c>
      <c r="D1141">
        <v>76</v>
      </c>
      <c r="E1141">
        <v>361</v>
      </c>
      <c r="F1141">
        <v>85</v>
      </c>
      <c r="G1141">
        <v>24.59</v>
      </c>
      <c r="H1141">
        <v>8878.18</v>
      </c>
    </row>
    <row r="1142" spans="1:8" x14ac:dyDescent="0.2">
      <c r="A1142" s="2">
        <v>45725</v>
      </c>
      <c r="B1142">
        <v>51</v>
      </c>
      <c r="C1142">
        <v>38</v>
      </c>
      <c r="D1142">
        <v>47</v>
      </c>
      <c r="E1142">
        <v>136</v>
      </c>
      <c r="F1142">
        <v>83</v>
      </c>
      <c r="G1142">
        <v>21.32</v>
      </c>
      <c r="H1142">
        <v>2899.88</v>
      </c>
    </row>
    <row r="1143" spans="1:8" x14ac:dyDescent="0.2">
      <c r="A1143" s="2">
        <v>45726</v>
      </c>
      <c r="B1143">
        <v>19</v>
      </c>
      <c r="C1143">
        <v>10</v>
      </c>
      <c r="D1143">
        <v>54</v>
      </c>
      <c r="E1143">
        <v>85</v>
      </c>
      <c r="F1143">
        <v>82</v>
      </c>
      <c r="G1143">
        <v>21.88</v>
      </c>
      <c r="H1143">
        <v>1859.66</v>
      </c>
    </row>
    <row r="1144" spans="1:8" x14ac:dyDescent="0.2">
      <c r="A1144" s="2">
        <v>45727</v>
      </c>
      <c r="B1144">
        <v>78</v>
      </c>
      <c r="C1144">
        <v>27</v>
      </c>
      <c r="D1144">
        <v>45</v>
      </c>
      <c r="E1144">
        <v>150</v>
      </c>
      <c r="F1144">
        <v>85</v>
      </c>
      <c r="G1144">
        <v>22.12</v>
      </c>
      <c r="H1144">
        <v>3317.86</v>
      </c>
    </row>
    <row r="1145" spans="1:8" x14ac:dyDescent="0.2">
      <c r="A1145" s="2">
        <v>45728</v>
      </c>
      <c r="B1145">
        <v>128</v>
      </c>
      <c r="C1145">
        <v>44</v>
      </c>
      <c r="D1145">
        <v>31</v>
      </c>
      <c r="E1145">
        <v>207</v>
      </c>
      <c r="F1145">
        <v>93</v>
      </c>
      <c r="G1145">
        <v>16.37</v>
      </c>
      <c r="H1145">
        <v>3389.12</v>
      </c>
    </row>
    <row r="1146" spans="1:8" x14ac:dyDescent="0.2">
      <c r="A1146" s="2">
        <v>45729</v>
      </c>
      <c r="B1146">
        <v>158</v>
      </c>
      <c r="C1146">
        <v>35</v>
      </c>
      <c r="D1146">
        <v>54</v>
      </c>
      <c r="E1146">
        <v>247</v>
      </c>
      <c r="F1146">
        <v>88</v>
      </c>
      <c r="G1146">
        <v>17.440000000000001</v>
      </c>
      <c r="H1146">
        <v>4307.79</v>
      </c>
    </row>
    <row r="1147" spans="1:8" x14ac:dyDescent="0.2">
      <c r="A1147" s="2">
        <v>45730</v>
      </c>
      <c r="B1147">
        <v>147</v>
      </c>
      <c r="C1147">
        <v>42</v>
      </c>
      <c r="D1147">
        <v>64</v>
      </c>
      <c r="E1147">
        <v>253</v>
      </c>
      <c r="F1147">
        <v>88</v>
      </c>
      <c r="G1147">
        <v>22.68</v>
      </c>
      <c r="H1147">
        <v>5739.33</v>
      </c>
    </row>
    <row r="1148" spans="1:8" x14ac:dyDescent="0.2">
      <c r="A1148" s="2">
        <v>45731</v>
      </c>
      <c r="B1148">
        <v>215</v>
      </c>
      <c r="C1148">
        <v>73</v>
      </c>
      <c r="D1148">
        <v>109</v>
      </c>
      <c r="E1148">
        <v>397</v>
      </c>
      <c r="F1148">
        <v>88</v>
      </c>
      <c r="G1148">
        <v>26.38</v>
      </c>
      <c r="H1148">
        <v>10473.879999999999</v>
      </c>
    </row>
    <row r="1149" spans="1:8" x14ac:dyDescent="0.2">
      <c r="A1149" s="2">
        <v>45732</v>
      </c>
      <c r="B1149">
        <v>114</v>
      </c>
      <c r="C1149">
        <v>24</v>
      </c>
      <c r="D1149">
        <v>58</v>
      </c>
      <c r="E1149">
        <v>196</v>
      </c>
      <c r="F1149">
        <v>81</v>
      </c>
      <c r="G1149">
        <v>21.74</v>
      </c>
      <c r="H1149">
        <v>4260.58</v>
      </c>
    </row>
    <row r="1150" spans="1:8" x14ac:dyDescent="0.2">
      <c r="A1150" s="2">
        <v>45733</v>
      </c>
      <c r="B1150">
        <v>57</v>
      </c>
      <c r="C1150">
        <v>17</v>
      </c>
      <c r="D1150">
        <v>66</v>
      </c>
      <c r="E1150">
        <v>142</v>
      </c>
      <c r="F1150">
        <v>83</v>
      </c>
      <c r="G1150">
        <v>26.33</v>
      </c>
      <c r="H1150">
        <v>3739.58</v>
      </c>
    </row>
    <row r="1151" spans="1:8" x14ac:dyDescent="0.2">
      <c r="A1151" s="2">
        <v>45734</v>
      </c>
      <c r="B1151">
        <v>99</v>
      </c>
      <c r="C1151">
        <v>39</v>
      </c>
      <c r="D1151">
        <v>79</v>
      </c>
      <c r="E1151">
        <v>217</v>
      </c>
      <c r="F1151">
        <v>89</v>
      </c>
      <c r="G1151">
        <v>17.75</v>
      </c>
      <c r="H1151">
        <v>3852.32</v>
      </c>
    </row>
    <row r="1152" spans="1:8" x14ac:dyDescent="0.2">
      <c r="A1152" s="2">
        <v>45735</v>
      </c>
      <c r="B1152">
        <v>58</v>
      </c>
      <c r="C1152">
        <v>16</v>
      </c>
      <c r="D1152">
        <v>46</v>
      </c>
      <c r="E1152">
        <v>120</v>
      </c>
      <c r="F1152">
        <v>78</v>
      </c>
      <c r="G1152">
        <v>18.09</v>
      </c>
      <c r="H1152">
        <v>2171.19</v>
      </c>
    </row>
    <row r="1153" spans="1:8" x14ac:dyDescent="0.2">
      <c r="A1153" s="2">
        <v>45736</v>
      </c>
      <c r="B1153">
        <v>82</v>
      </c>
      <c r="C1153">
        <v>48</v>
      </c>
      <c r="D1153">
        <v>79</v>
      </c>
      <c r="E1153">
        <v>209</v>
      </c>
      <c r="F1153">
        <v>82</v>
      </c>
      <c r="G1153">
        <v>25.57</v>
      </c>
      <c r="H1153">
        <v>5343.39</v>
      </c>
    </row>
    <row r="1154" spans="1:8" x14ac:dyDescent="0.2">
      <c r="A1154" s="2">
        <v>45737</v>
      </c>
      <c r="B1154">
        <v>109</v>
      </c>
      <c r="C1154">
        <v>41</v>
      </c>
      <c r="D1154">
        <v>88</v>
      </c>
      <c r="E1154">
        <v>243</v>
      </c>
      <c r="F1154">
        <v>88</v>
      </c>
      <c r="G1154">
        <v>26.55</v>
      </c>
      <c r="H1154">
        <v>6451.2</v>
      </c>
    </row>
    <row r="1155" spans="1:8" x14ac:dyDescent="0.2">
      <c r="A1155" s="2">
        <v>45738</v>
      </c>
      <c r="B1155">
        <v>233</v>
      </c>
      <c r="C1155">
        <v>46</v>
      </c>
      <c r="D1155">
        <v>90</v>
      </c>
      <c r="E1155">
        <v>370</v>
      </c>
      <c r="F1155">
        <v>92</v>
      </c>
      <c r="G1155">
        <v>27.52</v>
      </c>
      <c r="H1155">
        <v>10183.93</v>
      </c>
    </row>
    <row r="1156" spans="1:8" x14ac:dyDescent="0.2">
      <c r="A1156" s="2">
        <v>45739</v>
      </c>
      <c r="B1156">
        <v>109</v>
      </c>
      <c r="C1156">
        <v>24</v>
      </c>
      <c r="D1156">
        <v>76</v>
      </c>
      <c r="E1156">
        <v>209</v>
      </c>
      <c r="F1156">
        <v>82</v>
      </c>
      <c r="G1156">
        <v>22.99</v>
      </c>
      <c r="H1156">
        <v>4804.5</v>
      </c>
    </row>
    <row r="1157" spans="1:8" x14ac:dyDescent="0.2">
      <c r="A1157" s="2">
        <v>45740</v>
      </c>
      <c r="B1157">
        <v>54</v>
      </c>
      <c r="C1157">
        <v>4</v>
      </c>
      <c r="D1157">
        <v>35</v>
      </c>
      <c r="E1157">
        <v>93</v>
      </c>
      <c r="F1157">
        <v>87</v>
      </c>
      <c r="G1157">
        <v>22.41</v>
      </c>
      <c r="H1157">
        <v>2084.5300000000002</v>
      </c>
    </row>
    <row r="1158" spans="1:8" x14ac:dyDescent="0.2">
      <c r="A1158" s="2">
        <v>45741</v>
      </c>
      <c r="B1158">
        <v>58</v>
      </c>
      <c r="C1158">
        <v>4</v>
      </c>
      <c r="D1158">
        <v>70</v>
      </c>
      <c r="E1158">
        <v>132</v>
      </c>
      <c r="F1158">
        <v>82</v>
      </c>
      <c r="G1158">
        <v>23.5</v>
      </c>
      <c r="H1158">
        <v>3102.07</v>
      </c>
    </row>
    <row r="1159" spans="1:8" x14ac:dyDescent="0.2">
      <c r="A1159" s="2">
        <v>45742</v>
      </c>
      <c r="B1159">
        <v>71</v>
      </c>
      <c r="C1159">
        <v>19</v>
      </c>
      <c r="D1159">
        <v>46</v>
      </c>
      <c r="E1159">
        <v>140</v>
      </c>
      <c r="F1159">
        <v>85</v>
      </c>
      <c r="G1159">
        <v>24.45</v>
      </c>
      <c r="H1159">
        <v>3423.71</v>
      </c>
    </row>
    <row r="1160" spans="1:8" x14ac:dyDescent="0.2">
      <c r="A1160" s="2">
        <v>45743</v>
      </c>
      <c r="B1160">
        <v>89</v>
      </c>
      <c r="C1160">
        <v>24</v>
      </c>
      <c r="D1160">
        <v>50</v>
      </c>
      <c r="E1160">
        <v>171</v>
      </c>
      <c r="F1160">
        <v>89</v>
      </c>
      <c r="G1160">
        <v>19.91</v>
      </c>
      <c r="H1160">
        <v>3403.97</v>
      </c>
    </row>
    <row r="1161" spans="1:8" x14ac:dyDescent="0.2">
      <c r="A1161" s="2">
        <v>45744</v>
      </c>
      <c r="B1161">
        <v>123</v>
      </c>
      <c r="C1161">
        <v>36</v>
      </c>
      <c r="D1161">
        <v>75</v>
      </c>
      <c r="E1161">
        <v>237</v>
      </c>
      <c r="F1161">
        <v>89</v>
      </c>
      <c r="G1161">
        <v>31.06</v>
      </c>
      <c r="H1161">
        <v>7360.98</v>
      </c>
    </row>
    <row r="1162" spans="1:8" x14ac:dyDescent="0.2">
      <c r="A1162" s="2">
        <v>45745</v>
      </c>
      <c r="B1162">
        <v>273</v>
      </c>
      <c r="C1162">
        <v>37</v>
      </c>
      <c r="D1162">
        <v>70</v>
      </c>
      <c r="E1162">
        <v>382</v>
      </c>
      <c r="F1162">
        <v>87</v>
      </c>
      <c r="G1162">
        <v>27.48</v>
      </c>
      <c r="H1162">
        <v>10497.58</v>
      </c>
    </row>
    <row r="1163" spans="1:8" x14ac:dyDescent="0.2">
      <c r="A1163" s="2">
        <v>45746</v>
      </c>
      <c r="B1163">
        <v>197</v>
      </c>
      <c r="C1163">
        <v>29</v>
      </c>
      <c r="D1163">
        <v>54</v>
      </c>
      <c r="E1163">
        <v>280</v>
      </c>
      <c r="F1163">
        <v>88</v>
      </c>
      <c r="G1163">
        <v>29.86</v>
      </c>
      <c r="H1163">
        <v>8359.5499999999993</v>
      </c>
    </row>
    <row r="1164" spans="1:8" x14ac:dyDescent="0.2">
      <c r="A1164" s="2">
        <v>45747</v>
      </c>
      <c r="B1164">
        <v>14</v>
      </c>
      <c r="C1164">
        <v>14</v>
      </c>
      <c r="D1164">
        <v>60</v>
      </c>
      <c r="E1164">
        <v>90</v>
      </c>
      <c r="F1164">
        <v>84</v>
      </c>
      <c r="G1164">
        <v>27.6</v>
      </c>
      <c r="H1164">
        <v>2483.81</v>
      </c>
    </row>
    <row r="1165" spans="1:8" x14ac:dyDescent="0.2">
      <c r="A1165" s="2">
        <v>45748</v>
      </c>
      <c r="B1165">
        <v>58</v>
      </c>
      <c r="C1165">
        <v>24</v>
      </c>
      <c r="D1165">
        <v>58</v>
      </c>
      <c r="E1165">
        <v>140</v>
      </c>
      <c r="F1165">
        <v>84</v>
      </c>
      <c r="G1165">
        <v>28.12</v>
      </c>
      <c r="H1165">
        <v>3936.86</v>
      </c>
    </row>
    <row r="1166" spans="1:8" x14ac:dyDescent="0.2">
      <c r="A1166" s="2">
        <v>45749</v>
      </c>
      <c r="B1166">
        <v>61</v>
      </c>
      <c r="C1166">
        <v>8</v>
      </c>
      <c r="D1166">
        <v>67</v>
      </c>
      <c r="E1166">
        <v>136</v>
      </c>
      <c r="F1166">
        <v>80</v>
      </c>
      <c r="G1166">
        <v>28.35</v>
      </c>
      <c r="H1166">
        <v>3855.11</v>
      </c>
    </row>
    <row r="1167" spans="1:8" x14ac:dyDescent="0.2">
      <c r="A1167" s="2">
        <v>45750</v>
      </c>
      <c r="B1167">
        <v>49</v>
      </c>
      <c r="C1167">
        <v>8</v>
      </c>
      <c r="D1167">
        <v>56</v>
      </c>
      <c r="E1167">
        <v>113</v>
      </c>
      <c r="F1167">
        <v>83</v>
      </c>
      <c r="G1167">
        <v>31.84</v>
      </c>
      <c r="H1167">
        <v>3597.81</v>
      </c>
    </row>
    <row r="1168" spans="1:8" x14ac:dyDescent="0.2">
      <c r="A1168" s="2">
        <v>45751</v>
      </c>
      <c r="B1168">
        <v>102</v>
      </c>
      <c r="C1168">
        <v>38</v>
      </c>
      <c r="D1168">
        <v>80</v>
      </c>
      <c r="E1168">
        <v>220</v>
      </c>
      <c r="F1168">
        <v>87</v>
      </c>
      <c r="G1168">
        <v>30.39</v>
      </c>
      <c r="H1168">
        <v>6686.39</v>
      </c>
    </row>
    <row r="1169" spans="1:8" x14ac:dyDescent="0.2">
      <c r="A1169" s="2">
        <v>45752</v>
      </c>
      <c r="B1169">
        <v>223</v>
      </c>
      <c r="C1169">
        <v>31</v>
      </c>
      <c r="D1169">
        <v>118</v>
      </c>
      <c r="E1169">
        <v>372</v>
      </c>
      <c r="F1169">
        <v>86</v>
      </c>
      <c r="G1169">
        <v>24.28</v>
      </c>
      <c r="H1169">
        <v>9033.01</v>
      </c>
    </row>
    <row r="1170" spans="1:8" x14ac:dyDescent="0.2">
      <c r="A1170" s="2">
        <v>45753</v>
      </c>
      <c r="B1170">
        <v>89</v>
      </c>
      <c r="C1170">
        <v>21</v>
      </c>
      <c r="D1170">
        <v>69</v>
      </c>
      <c r="E1170">
        <v>179</v>
      </c>
      <c r="F1170">
        <v>82</v>
      </c>
      <c r="G1170">
        <v>24.55</v>
      </c>
      <c r="H1170">
        <v>4394.29</v>
      </c>
    </row>
    <row r="1171" spans="1:8" x14ac:dyDescent="0.2">
      <c r="A1171" s="2">
        <v>45754</v>
      </c>
      <c r="B1171">
        <v>68</v>
      </c>
      <c r="C1171">
        <v>6</v>
      </c>
      <c r="D1171">
        <v>35</v>
      </c>
      <c r="E1171">
        <v>109</v>
      </c>
      <c r="F1171">
        <v>83</v>
      </c>
      <c r="G1171">
        <v>20.68</v>
      </c>
      <c r="H1171">
        <v>2253.67</v>
      </c>
    </row>
    <row r="1172" spans="1:8" x14ac:dyDescent="0.2">
      <c r="A1172" s="2">
        <v>45755</v>
      </c>
      <c r="B1172">
        <v>70</v>
      </c>
      <c r="C1172">
        <v>16</v>
      </c>
      <c r="D1172">
        <v>56</v>
      </c>
      <c r="E1172">
        <v>142</v>
      </c>
      <c r="F1172">
        <v>86</v>
      </c>
      <c r="G1172">
        <v>19.149999999999999</v>
      </c>
      <c r="H1172">
        <v>2719.02</v>
      </c>
    </row>
    <row r="1173" spans="1:8" x14ac:dyDescent="0.2">
      <c r="A1173" s="2">
        <v>45756</v>
      </c>
      <c r="B1173">
        <v>37</v>
      </c>
      <c r="C1173">
        <v>16</v>
      </c>
      <c r="D1173">
        <v>52</v>
      </c>
      <c r="E1173">
        <v>105</v>
      </c>
      <c r="F1173">
        <v>88</v>
      </c>
      <c r="G1173">
        <v>30.8</v>
      </c>
      <c r="H1173">
        <v>3234.15</v>
      </c>
    </row>
    <row r="1174" spans="1:8" x14ac:dyDescent="0.2">
      <c r="A1174" s="2">
        <v>45757</v>
      </c>
      <c r="B1174">
        <v>54</v>
      </c>
      <c r="C1174">
        <v>15</v>
      </c>
      <c r="D1174">
        <v>49</v>
      </c>
      <c r="E1174">
        <v>118</v>
      </c>
      <c r="F1174">
        <v>84</v>
      </c>
      <c r="G1174">
        <v>20.66</v>
      </c>
      <c r="H1174">
        <v>2437.4299999999998</v>
      </c>
    </row>
    <row r="1175" spans="1:8" x14ac:dyDescent="0.2">
      <c r="A1175" s="2">
        <v>45758</v>
      </c>
      <c r="B1175">
        <v>97</v>
      </c>
      <c r="C1175">
        <v>38</v>
      </c>
      <c r="D1175">
        <v>58</v>
      </c>
      <c r="E1175">
        <v>200</v>
      </c>
      <c r="F1175">
        <v>84</v>
      </c>
      <c r="G1175">
        <v>31.19</v>
      </c>
      <c r="H1175">
        <v>6237.55</v>
      </c>
    </row>
    <row r="1176" spans="1:8" x14ac:dyDescent="0.2">
      <c r="A1176" s="2">
        <v>45759</v>
      </c>
      <c r="B1176">
        <v>177</v>
      </c>
      <c r="C1176">
        <v>66</v>
      </c>
      <c r="D1176">
        <v>69</v>
      </c>
      <c r="E1176">
        <v>312</v>
      </c>
      <c r="F1176">
        <v>86</v>
      </c>
      <c r="G1176">
        <v>27.96</v>
      </c>
      <c r="H1176">
        <v>8722.77</v>
      </c>
    </row>
    <row r="1177" spans="1:8" x14ac:dyDescent="0.2">
      <c r="A1177" s="2">
        <v>45760</v>
      </c>
      <c r="B1177">
        <v>38</v>
      </c>
      <c r="C1177">
        <v>21</v>
      </c>
      <c r="D1177">
        <v>66</v>
      </c>
      <c r="E1177">
        <v>125</v>
      </c>
      <c r="F1177">
        <v>78</v>
      </c>
      <c r="G1177">
        <v>26.76</v>
      </c>
      <c r="H1177">
        <v>3345.36</v>
      </c>
    </row>
    <row r="1178" spans="1:8" x14ac:dyDescent="0.2">
      <c r="A1178" s="2">
        <v>45761</v>
      </c>
      <c r="B1178">
        <v>21</v>
      </c>
      <c r="C1178">
        <v>37</v>
      </c>
      <c r="D1178">
        <v>59</v>
      </c>
      <c r="E1178">
        <v>126</v>
      </c>
      <c r="F1178">
        <v>79</v>
      </c>
      <c r="G1178">
        <v>25.64</v>
      </c>
      <c r="H1178">
        <v>3230.07</v>
      </c>
    </row>
    <row r="1179" spans="1:8" x14ac:dyDescent="0.2">
      <c r="A1179" s="2">
        <v>45762</v>
      </c>
      <c r="B1179">
        <v>36</v>
      </c>
      <c r="C1179">
        <v>15</v>
      </c>
      <c r="D1179">
        <v>61</v>
      </c>
      <c r="E1179">
        <v>112</v>
      </c>
      <c r="F1179">
        <v>82</v>
      </c>
      <c r="G1179">
        <v>22.49</v>
      </c>
      <c r="H1179">
        <v>2518.91</v>
      </c>
    </row>
    <row r="1180" spans="1:8" x14ac:dyDescent="0.2">
      <c r="A1180" s="2">
        <v>45763</v>
      </c>
      <c r="B1180">
        <v>57</v>
      </c>
      <c r="C1180">
        <v>42</v>
      </c>
      <c r="D1180">
        <v>57</v>
      </c>
      <c r="E1180">
        <v>158</v>
      </c>
      <c r="F1180">
        <v>91</v>
      </c>
      <c r="G1180">
        <v>24.84</v>
      </c>
      <c r="H1180">
        <v>3925.09</v>
      </c>
    </row>
    <row r="1181" spans="1:8" x14ac:dyDescent="0.2">
      <c r="A1181" s="2">
        <v>45764</v>
      </c>
      <c r="B1181">
        <v>96</v>
      </c>
      <c r="C1181">
        <v>52</v>
      </c>
      <c r="D1181">
        <v>86</v>
      </c>
      <c r="E1181">
        <v>234</v>
      </c>
      <c r="F1181">
        <v>88</v>
      </c>
      <c r="G1181">
        <v>25.34</v>
      </c>
      <c r="H1181">
        <v>5929.04</v>
      </c>
    </row>
    <row r="1182" spans="1:8" x14ac:dyDescent="0.2">
      <c r="A1182" s="2">
        <v>45765</v>
      </c>
      <c r="B1182">
        <v>133</v>
      </c>
      <c r="C1182">
        <v>34</v>
      </c>
      <c r="D1182">
        <v>109</v>
      </c>
      <c r="E1182">
        <v>276</v>
      </c>
      <c r="F1182">
        <v>82</v>
      </c>
      <c r="G1182">
        <v>27.43</v>
      </c>
      <c r="H1182">
        <v>7571.86</v>
      </c>
    </row>
    <row r="1183" spans="1:8" x14ac:dyDescent="0.2">
      <c r="A1183" s="2">
        <v>45766</v>
      </c>
      <c r="B1183">
        <v>224</v>
      </c>
      <c r="C1183">
        <v>46</v>
      </c>
      <c r="D1183">
        <v>121</v>
      </c>
      <c r="E1183">
        <v>391</v>
      </c>
      <c r="F1183">
        <v>88</v>
      </c>
      <c r="G1183">
        <v>27.32</v>
      </c>
      <c r="H1183">
        <v>10683.74</v>
      </c>
    </row>
    <row r="1184" spans="1:8" x14ac:dyDescent="0.2">
      <c r="A1184" s="2">
        <v>45767</v>
      </c>
      <c r="B1184">
        <v>45</v>
      </c>
      <c r="C1184">
        <v>41</v>
      </c>
      <c r="D1184">
        <v>44</v>
      </c>
      <c r="E1184">
        <v>132</v>
      </c>
      <c r="F1184">
        <v>86</v>
      </c>
      <c r="G1184">
        <v>27.21</v>
      </c>
      <c r="H1184">
        <v>3591.37</v>
      </c>
    </row>
    <row r="1185" spans="1:8" x14ac:dyDescent="0.2">
      <c r="A1185" s="2">
        <v>45768</v>
      </c>
      <c r="B1185">
        <v>33</v>
      </c>
      <c r="C1185">
        <v>15</v>
      </c>
      <c r="D1185">
        <v>54</v>
      </c>
      <c r="E1185">
        <v>111</v>
      </c>
      <c r="F1185">
        <v>80</v>
      </c>
      <c r="G1185">
        <v>23.2</v>
      </c>
      <c r="H1185">
        <v>2575.4899999999998</v>
      </c>
    </row>
    <row r="1186" spans="1:8" x14ac:dyDescent="0.2">
      <c r="A1186" s="2">
        <v>45769</v>
      </c>
      <c r="B1186">
        <v>50</v>
      </c>
      <c r="C1186">
        <v>14</v>
      </c>
      <c r="D1186">
        <v>65</v>
      </c>
      <c r="E1186">
        <v>137</v>
      </c>
      <c r="F1186">
        <v>82</v>
      </c>
      <c r="G1186">
        <v>24.14</v>
      </c>
      <c r="H1186">
        <v>3306.55</v>
      </c>
    </row>
    <row r="1187" spans="1:8" x14ac:dyDescent="0.2">
      <c r="A1187" s="2">
        <v>45770</v>
      </c>
      <c r="B1187">
        <v>20</v>
      </c>
      <c r="C1187">
        <v>20</v>
      </c>
      <c r="D1187">
        <v>50</v>
      </c>
      <c r="E1187">
        <v>90</v>
      </c>
      <c r="F1187">
        <v>83</v>
      </c>
      <c r="G1187">
        <v>16.670000000000002</v>
      </c>
      <c r="H1187">
        <v>1499.85</v>
      </c>
    </row>
    <row r="1188" spans="1:8" x14ac:dyDescent="0.2">
      <c r="A1188" s="2">
        <v>45771</v>
      </c>
      <c r="B1188">
        <v>65</v>
      </c>
      <c r="C1188">
        <v>16</v>
      </c>
      <c r="D1188">
        <v>46</v>
      </c>
      <c r="E1188">
        <v>127</v>
      </c>
      <c r="F1188">
        <v>87</v>
      </c>
      <c r="G1188">
        <v>23.02</v>
      </c>
      <c r="H1188">
        <v>2923.01</v>
      </c>
    </row>
    <row r="1189" spans="1:8" x14ac:dyDescent="0.2">
      <c r="A1189" s="2">
        <v>45772</v>
      </c>
      <c r="B1189">
        <v>100</v>
      </c>
      <c r="C1189">
        <v>22</v>
      </c>
      <c r="D1189">
        <v>77</v>
      </c>
      <c r="E1189">
        <v>203</v>
      </c>
      <c r="F1189">
        <v>90</v>
      </c>
      <c r="G1189">
        <v>31.42</v>
      </c>
      <c r="H1189">
        <v>6377.42</v>
      </c>
    </row>
    <row r="1190" spans="1:8" x14ac:dyDescent="0.2">
      <c r="A1190" s="2">
        <v>45773</v>
      </c>
      <c r="B1190">
        <v>227</v>
      </c>
      <c r="C1190">
        <v>49</v>
      </c>
      <c r="D1190">
        <v>80</v>
      </c>
      <c r="E1190">
        <v>356</v>
      </c>
      <c r="F1190">
        <v>88</v>
      </c>
      <c r="G1190">
        <v>25.43</v>
      </c>
      <c r="H1190">
        <v>9054.56</v>
      </c>
    </row>
    <row r="1191" spans="1:8" x14ac:dyDescent="0.2">
      <c r="A1191" s="2">
        <v>45774</v>
      </c>
      <c r="B1191">
        <v>37</v>
      </c>
      <c r="C1191">
        <v>4</v>
      </c>
      <c r="D1191">
        <v>45</v>
      </c>
      <c r="E1191">
        <v>86</v>
      </c>
      <c r="F1191">
        <v>78</v>
      </c>
      <c r="G1191">
        <v>27.76</v>
      </c>
      <c r="H1191">
        <v>2387.37</v>
      </c>
    </row>
    <row r="1192" spans="1:8" x14ac:dyDescent="0.2">
      <c r="A1192" s="2">
        <v>45775</v>
      </c>
      <c r="B1192">
        <v>43</v>
      </c>
      <c r="C1192">
        <v>10</v>
      </c>
      <c r="D1192">
        <v>48</v>
      </c>
      <c r="E1192">
        <v>118</v>
      </c>
      <c r="F1192">
        <v>85</v>
      </c>
      <c r="G1192">
        <v>16.77</v>
      </c>
      <c r="H1192">
        <v>1979.27</v>
      </c>
    </row>
    <row r="1193" spans="1:8" x14ac:dyDescent="0.2">
      <c r="A1193" s="2">
        <v>45776</v>
      </c>
      <c r="B1193">
        <v>64</v>
      </c>
      <c r="C1193">
        <v>2</v>
      </c>
      <c r="D1193">
        <v>46</v>
      </c>
      <c r="E1193">
        <v>112</v>
      </c>
      <c r="F1193">
        <v>88</v>
      </c>
      <c r="G1193">
        <v>19.52</v>
      </c>
      <c r="H1193">
        <v>2186.29</v>
      </c>
    </row>
    <row r="1194" spans="1:8" x14ac:dyDescent="0.2">
      <c r="A1194" s="2">
        <v>45777</v>
      </c>
      <c r="B1194">
        <v>13</v>
      </c>
      <c r="C1194">
        <v>12</v>
      </c>
      <c r="D1194">
        <v>53</v>
      </c>
      <c r="E1194">
        <v>80</v>
      </c>
      <c r="F1194">
        <v>82</v>
      </c>
      <c r="G1194">
        <v>25.57</v>
      </c>
      <c r="H1194">
        <v>2045.42</v>
      </c>
    </row>
    <row r="1195" spans="1:8" x14ac:dyDescent="0.2">
      <c r="A1195" s="2">
        <v>45778</v>
      </c>
      <c r="B1195">
        <v>57</v>
      </c>
      <c r="C1195">
        <v>15</v>
      </c>
      <c r="D1195">
        <v>72</v>
      </c>
      <c r="E1195">
        <v>147</v>
      </c>
      <c r="F1195">
        <v>83</v>
      </c>
      <c r="G1195">
        <v>24.86</v>
      </c>
      <c r="H1195">
        <v>3654.18</v>
      </c>
    </row>
    <row r="1196" spans="1:8" x14ac:dyDescent="0.2">
      <c r="A1196" s="2">
        <v>45779</v>
      </c>
      <c r="B1196">
        <v>72</v>
      </c>
      <c r="C1196">
        <v>21</v>
      </c>
      <c r="D1196">
        <v>78</v>
      </c>
      <c r="E1196">
        <v>171</v>
      </c>
      <c r="F1196">
        <v>82</v>
      </c>
      <c r="G1196">
        <v>23.06</v>
      </c>
      <c r="H1196">
        <v>3942.5</v>
      </c>
    </row>
    <row r="1197" spans="1:8" x14ac:dyDescent="0.2">
      <c r="A1197" s="2">
        <v>45780</v>
      </c>
      <c r="B1197">
        <v>295</v>
      </c>
      <c r="C1197">
        <v>40</v>
      </c>
      <c r="D1197">
        <v>91</v>
      </c>
      <c r="E1197">
        <v>426</v>
      </c>
      <c r="F1197">
        <v>88</v>
      </c>
      <c r="G1197">
        <v>23.29</v>
      </c>
      <c r="H1197">
        <v>9921.59</v>
      </c>
    </row>
    <row r="1198" spans="1:8" x14ac:dyDescent="0.2">
      <c r="A1198" s="2">
        <v>45781</v>
      </c>
      <c r="B1198">
        <v>140</v>
      </c>
      <c r="C1198">
        <v>72</v>
      </c>
      <c r="D1198">
        <v>97</v>
      </c>
      <c r="E1198">
        <v>309</v>
      </c>
      <c r="F1198">
        <v>89</v>
      </c>
      <c r="G1198">
        <v>26.15</v>
      </c>
      <c r="H1198">
        <v>8080.05</v>
      </c>
    </row>
    <row r="1199" spans="1:8" x14ac:dyDescent="0.2">
      <c r="A1199" s="2">
        <v>45782</v>
      </c>
      <c r="B1199">
        <v>54</v>
      </c>
      <c r="C1199">
        <v>25</v>
      </c>
      <c r="D1199">
        <v>83</v>
      </c>
      <c r="E1199">
        <v>162</v>
      </c>
      <c r="F1199">
        <v>89</v>
      </c>
      <c r="G1199">
        <v>27.75</v>
      </c>
      <c r="H1199">
        <v>4495.53</v>
      </c>
    </row>
    <row r="1200" spans="1:8" x14ac:dyDescent="0.2">
      <c r="A1200" s="2">
        <v>45783</v>
      </c>
      <c r="B1200">
        <v>57</v>
      </c>
      <c r="C1200">
        <v>23</v>
      </c>
      <c r="D1200">
        <v>65</v>
      </c>
      <c r="E1200">
        <v>145</v>
      </c>
      <c r="F1200">
        <v>81</v>
      </c>
      <c r="G1200">
        <v>18.25</v>
      </c>
      <c r="H1200">
        <v>2646.93</v>
      </c>
    </row>
    <row r="1201" spans="1:8" x14ac:dyDescent="0.2">
      <c r="A1201" s="2">
        <v>45784</v>
      </c>
      <c r="B1201">
        <v>86</v>
      </c>
      <c r="C1201">
        <v>15</v>
      </c>
      <c r="D1201">
        <v>34</v>
      </c>
      <c r="E1201">
        <v>135</v>
      </c>
      <c r="F1201">
        <v>90</v>
      </c>
      <c r="G1201">
        <v>23.13</v>
      </c>
      <c r="H1201">
        <v>3122.6</v>
      </c>
    </row>
    <row r="1202" spans="1:8" x14ac:dyDescent="0.2">
      <c r="A1202" s="2">
        <v>45785</v>
      </c>
      <c r="B1202">
        <v>37</v>
      </c>
      <c r="C1202">
        <v>20</v>
      </c>
      <c r="D1202">
        <v>61</v>
      </c>
      <c r="E1202">
        <v>124</v>
      </c>
      <c r="F1202">
        <v>92</v>
      </c>
      <c r="G1202">
        <v>20.03</v>
      </c>
      <c r="H1202">
        <v>2483.17</v>
      </c>
    </row>
    <row r="1203" spans="1:8" x14ac:dyDescent="0.2">
      <c r="A1203" s="2">
        <v>45786</v>
      </c>
      <c r="B1203">
        <v>114</v>
      </c>
      <c r="C1203">
        <v>30</v>
      </c>
      <c r="D1203">
        <v>63</v>
      </c>
      <c r="E1203">
        <v>209</v>
      </c>
      <c r="F1203">
        <v>80</v>
      </c>
      <c r="G1203">
        <v>22.5</v>
      </c>
      <c r="H1203">
        <v>4702.01</v>
      </c>
    </row>
    <row r="1204" spans="1:8" x14ac:dyDescent="0.2">
      <c r="A1204" s="2">
        <v>45787</v>
      </c>
      <c r="B1204">
        <v>181</v>
      </c>
      <c r="C1204">
        <v>48</v>
      </c>
      <c r="D1204">
        <v>84</v>
      </c>
      <c r="E1204">
        <v>315</v>
      </c>
      <c r="F1204">
        <v>88</v>
      </c>
      <c r="G1204">
        <v>27.13</v>
      </c>
      <c r="H1204">
        <v>8547.1299999999992</v>
      </c>
    </row>
    <row r="1205" spans="1:8" x14ac:dyDescent="0.2">
      <c r="A1205" s="2">
        <v>45788</v>
      </c>
      <c r="B1205">
        <v>69</v>
      </c>
      <c r="C1205">
        <v>21</v>
      </c>
      <c r="D1205">
        <v>70</v>
      </c>
      <c r="E1205">
        <v>160</v>
      </c>
      <c r="F1205">
        <v>75</v>
      </c>
      <c r="G1205">
        <v>21.05</v>
      </c>
      <c r="H1205">
        <v>3367.8</v>
      </c>
    </row>
    <row r="1206" spans="1:8" x14ac:dyDescent="0.2">
      <c r="A1206" s="2">
        <v>45789</v>
      </c>
      <c r="B1206">
        <v>52</v>
      </c>
      <c r="C1206">
        <v>13</v>
      </c>
      <c r="D1206">
        <v>50</v>
      </c>
      <c r="E1206">
        <v>115</v>
      </c>
      <c r="F1206">
        <v>82</v>
      </c>
      <c r="G1206">
        <v>16.53</v>
      </c>
      <c r="H1206">
        <v>1900.85</v>
      </c>
    </row>
    <row r="1207" spans="1:8" x14ac:dyDescent="0.2">
      <c r="A1207" s="2">
        <v>45790</v>
      </c>
      <c r="B1207">
        <v>36</v>
      </c>
      <c r="C1207">
        <v>9</v>
      </c>
      <c r="D1207">
        <v>38</v>
      </c>
      <c r="E1207">
        <v>83</v>
      </c>
      <c r="F1207">
        <v>98</v>
      </c>
      <c r="G1207">
        <v>26.52</v>
      </c>
      <c r="H1207">
        <v>2201.3000000000002</v>
      </c>
    </row>
    <row r="1208" spans="1:8" x14ac:dyDescent="0.2">
      <c r="A1208" s="2">
        <v>45791</v>
      </c>
      <c r="B1208">
        <v>88</v>
      </c>
      <c r="C1208">
        <v>10</v>
      </c>
      <c r="D1208">
        <v>34</v>
      </c>
      <c r="E1208">
        <v>132</v>
      </c>
      <c r="F1208">
        <v>97</v>
      </c>
      <c r="G1208">
        <v>19.79</v>
      </c>
      <c r="H1208">
        <v>2611.84</v>
      </c>
    </row>
    <row r="1209" spans="1:8" x14ac:dyDescent="0.2">
      <c r="A1209" s="2">
        <v>45792</v>
      </c>
      <c r="B1209">
        <v>43</v>
      </c>
      <c r="C1209">
        <v>20</v>
      </c>
      <c r="D1209">
        <v>51</v>
      </c>
      <c r="E1209">
        <v>114</v>
      </c>
      <c r="F1209">
        <v>86</v>
      </c>
      <c r="G1209">
        <v>24.91</v>
      </c>
      <c r="H1209">
        <v>2840.24</v>
      </c>
    </row>
    <row r="1210" spans="1:8" x14ac:dyDescent="0.2">
      <c r="A1210" s="2">
        <v>45793</v>
      </c>
      <c r="B1210">
        <v>68</v>
      </c>
      <c r="C1210">
        <v>26</v>
      </c>
      <c r="D1210">
        <v>52</v>
      </c>
      <c r="E1210">
        <v>146</v>
      </c>
      <c r="F1210">
        <v>80</v>
      </c>
      <c r="G1210">
        <v>27.85</v>
      </c>
      <c r="H1210">
        <v>4066.57</v>
      </c>
    </row>
    <row r="1211" spans="1:8" x14ac:dyDescent="0.2">
      <c r="A1211" s="2">
        <v>45794</v>
      </c>
      <c r="B1211">
        <v>264</v>
      </c>
      <c r="C1211">
        <v>29</v>
      </c>
      <c r="D1211">
        <v>71</v>
      </c>
      <c r="E1211">
        <v>364</v>
      </c>
      <c r="F1211">
        <v>89</v>
      </c>
      <c r="G1211">
        <v>22.8</v>
      </c>
      <c r="H1211">
        <v>8300.27</v>
      </c>
    </row>
    <row r="1212" spans="1:8" x14ac:dyDescent="0.2">
      <c r="A1212" s="2">
        <v>45795</v>
      </c>
      <c r="B1212">
        <v>113</v>
      </c>
      <c r="C1212">
        <v>16</v>
      </c>
      <c r="D1212">
        <v>54</v>
      </c>
      <c r="E1212">
        <v>187</v>
      </c>
      <c r="F1212">
        <v>81</v>
      </c>
      <c r="G1212">
        <v>19</v>
      </c>
      <c r="H1212">
        <v>3552.81</v>
      </c>
    </row>
    <row r="1213" spans="1:8" x14ac:dyDescent="0.2">
      <c r="A1213" s="2">
        <v>45796</v>
      </c>
      <c r="B1213">
        <v>30</v>
      </c>
      <c r="C1213">
        <v>6</v>
      </c>
      <c r="D1213">
        <v>27</v>
      </c>
      <c r="E1213">
        <v>65</v>
      </c>
      <c r="F1213">
        <v>97</v>
      </c>
      <c r="G1213">
        <v>21.28</v>
      </c>
      <c r="H1213">
        <v>1383.17</v>
      </c>
    </row>
    <row r="1214" spans="1:8" x14ac:dyDescent="0.2">
      <c r="A1214" s="2">
        <v>45797</v>
      </c>
      <c r="B1214">
        <v>42</v>
      </c>
      <c r="C1214">
        <v>12</v>
      </c>
      <c r="D1214">
        <v>52</v>
      </c>
      <c r="E1214">
        <v>106</v>
      </c>
      <c r="F1214">
        <v>92</v>
      </c>
      <c r="G1214">
        <v>28.75</v>
      </c>
      <c r="H1214">
        <v>3047.18</v>
      </c>
    </row>
    <row r="1215" spans="1:8" x14ac:dyDescent="0.2">
      <c r="A1215" s="2">
        <v>45798</v>
      </c>
      <c r="B1215">
        <v>35</v>
      </c>
      <c r="C1215">
        <v>4</v>
      </c>
      <c r="D1215">
        <v>21</v>
      </c>
      <c r="E1215">
        <v>60</v>
      </c>
      <c r="F1215">
        <v>97</v>
      </c>
      <c r="G1215">
        <v>28.66</v>
      </c>
      <c r="H1215">
        <v>1719.59</v>
      </c>
    </row>
    <row r="1216" spans="1:8" x14ac:dyDescent="0.2">
      <c r="A1216" s="2">
        <v>45799</v>
      </c>
      <c r="B1216">
        <v>25</v>
      </c>
      <c r="C1216">
        <v>8</v>
      </c>
      <c r="D1216">
        <v>37</v>
      </c>
      <c r="E1216">
        <v>70</v>
      </c>
      <c r="F1216">
        <v>83</v>
      </c>
      <c r="G1216">
        <v>22.62</v>
      </c>
      <c r="H1216">
        <v>1583.27</v>
      </c>
    </row>
    <row r="1217" spans="1:8" x14ac:dyDescent="0.2">
      <c r="A1217" s="2">
        <v>45800</v>
      </c>
      <c r="B1217">
        <v>72</v>
      </c>
      <c r="C1217">
        <v>28</v>
      </c>
      <c r="D1217">
        <v>70</v>
      </c>
      <c r="E1217">
        <v>170</v>
      </c>
      <c r="F1217">
        <v>85</v>
      </c>
      <c r="G1217">
        <v>29.97</v>
      </c>
      <c r="H1217">
        <v>5094.59</v>
      </c>
    </row>
    <row r="1218" spans="1:8" x14ac:dyDescent="0.2">
      <c r="A1218" s="2">
        <v>45801</v>
      </c>
      <c r="B1218">
        <v>152</v>
      </c>
      <c r="C1218">
        <v>76</v>
      </c>
      <c r="D1218">
        <v>101</v>
      </c>
      <c r="E1218">
        <v>329</v>
      </c>
      <c r="F1218">
        <v>89</v>
      </c>
      <c r="G1218">
        <v>26.04</v>
      </c>
      <c r="H1218">
        <v>8568.5400000000009</v>
      </c>
    </row>
    <row r="1219" spans="1:8" x14ac:dyDescent="0.2">
      <c r="A1219" s="2">
        <v>45802</v>
      </c>
      <c r="B1219">
        <v>121</v>
      </c>
      <c r="C1219">
        <v>49</v>
      </c>
      <c r="D1219">
        <v>100</v>
      </c>
      <c r="E1219">
        <v>270</v>
      </c>
      <c r="F1219">
        <v>83</v>
      </c>
      <c r="G1219">
        <v>27.01</v>
      </c>
      <c r="H1219">
        <v>7292.97</v>
      </c>
    </row>
    <row r="1220" spans="1:8" x14ac:dyDescent="0.2">
      <c r="A1220" s="2">
        <v>45803</v>
      </c>
      <c r="B1220">
        <v>46</v>
      </c>
      <c r="C1220">
        <v>19</v>
      </c>
      <c r="D1220">
        <v>66</v>
      </c>
      <c r="E1220">
        <v>131</v>
      </c>
      <c r="F1220">
        <v>81</v>
      </c>
      <c r="G1220">
        <v>26.26</v>
      </c>
      <c r="H1220">
        <v>3440.71</v>
      </c>
    </row>
    <row r="1221" spans="1:8" x14ac:dyDescent="0.2">
      <c r="A1221" s="2">
        <v>45804</v>
      </c>
      <c r="B1221">
        <v>40</v>
      </c>
      <c r="C1221">
        <v>12</v>
      </c>
      <c r="D1221">
        <v>55</v>
      </c>
      <c r="E1221">
        <v>107</v>
      </c>
      <c r="F1221">
        <v>82</v>
      </c>
      <c r="G1221">
        <v>17.72</v>
      </c>
      <c r="H1221">
        <v>1896.24</v>
      </c>
    </row>
    <row r="1222" spans="1:8" x14ac:dyDescent="0.2">
      <c r="A1222" s="2">
        <v>45805</v>
      </c>
      <c r="B1222">
        <v>75</v>
      </c>
      <c r="C1222">
        <v>17</v>
      </c>
      <c r="D1222">
        <v>55</v>
      </c>
      <c r="E1222">
        <v>149</v>
      </c>
      <c r="F1222">
        <v>84</v>
      </c>
      <c r="G1222">
        <v>30.74</v>
      </c>
      <c r="H1222">
        <v>4579.7</v>
      </c>
    </row>
    <row r="1223" spans="1:8" x14ac:dyDescent="0.2">
      <c r="A1223" s="2">
        <v>45806</v>
      </c>
      <c r="B1223">
        <v>71</v>
      </c>
      <c r="C1223">
        <v>27</v>
      </c>
      <c r="D1223">
        <v>51</v>
      </c>
      <c r="E1223">
        <v>149</v>
      </c>
      <c r="F1223">
        <v>85</v>
      </c>
      <c r="G1223">
        <v>22.28</v>
      </c>
      <c r="H1223">
        <v>3319.98</v>
      </c>
    </row>
    <row r="1224" spans="1:8" x14ac:dyDescent="0.2">
      <c r="A1224" s="2">
        <v>45807</v>
      </c>
      <c r="B1224">
        <v>123</v>
      </c>
      <c r="C1224">
        <v>37</v>
      </c>
      <c r="D1224">
        <v>88</v>
      </c>
      <c r="E1224">
        <v>248</v>
      </c>
      <c r="F1224">
        <v>82</v>
      </c>
      <c r="G1224">
        <v>28.98</v>
      </c>
      <c r="H1224">
        <v>7186.1</v>
      </c>
    </row>
    <row r="1225" spans="1:8" x14ac:dyDescent="0.2">
      <c r="A1225" s="2">
        <v>45808</v>
      </c>
      <c r="B1225">
        <v>202</v>
      </c>
      <c r="C1225">
        <v>29</v>
      </c>
      <c r="D1225">
        <v>69</v>
      </c>
      <c r="E1225">
        <v>300</v>
      </c>
      <c r="F1225">
        <v>90</v>
      </c>
      <c r="G1225">
        <v>27.19</v>
      </c>
      <c r="H1225">
        <v>8158.52</v>
      </c>
    </row>
    <row r="1226" spans="1:8" x14ac:dyDescent="0.2">
      <c r="A1226" s="2">
        <v>45809</v>
      </c>
      <c r="B1226">
        <v>66</v>
      </c>
      <c r="C1226">
        <v>37</v>
      </c>
      <c r="D1226">
        <v>111</v>
      </c>
      <c r="E1226">
        <v>214</v>
      </c>
      <c r="F1226">
        <v>78</v>
      </c>
      <c r="G1226">
        <v>23.69</v>
      </c>
      <c r="H1226">
        <v>5069.43</v>
      </c>
    </row>
    <row r="1227" spans="1:8" x14ac:dyDescent="0.2">
      <c r="A1227" s="2">
        <v>45810</v>
      </c>
      <c r="B1227">
        <v>33</v>
      </c>
      <c r="C1227">
        <v>10</v>
      </c>
      <c r="D1227">
        <v>56</v>
      </c>
      <c r="E1227">
        <v>101</v>
      </c>
      <c r="F1227">
        <v>87</v>
      </c>
      <c r="G1227">
        <v>17.72</v>
      </c>
      <c r="H1227">
        <v>1789.48</v>
      </c>
    </row>
    <row r="1228" spans="1:8" x14ac:dyDescent="0.2">
      <c r="A1228" s="2">
        <v>45811</v>
      </c>
      <c r="B1228">
        <v>43</v>
      </c>
      <c r="C1228">
        <v>9</v>
      </c>
      <c r="D1228">
        <v>58</v>
      </c>
      <c r="E1228">
        <v>110</v>
      </c>
      <c r="F1228">
        <v>77</v>
      </c>
      <c r="G1228">
        <v>24.26</v>
      </c>
      <c r="H1228">
        <v>2668.9</v>
      </c>
    </row>
    <row r="1229" spans="1:8" x14ac:dyDescent="0.2">
      <c r="A1229" s="2">
        <v>45812</v>
      </c>
      <c r="B1229">
        <v>48</v>
      </c>
      <c r="C1229">
        <v>13</v>
      </c>
      <c r="D1229">
        <v>48</v>
      </c>
      <c r="E1229">
        <v>110</v>
      </c>
      <c r="F1229">
        <v>84</v>
      </c>
      <c r="G1229">
        <v>17.8</v>
      </c>
      <c r="H1229">
        <v>1957.98</v>
      </c>
    </row>
    <row r="1230" spans="1:8" x14ac:dyDescent="0.2">
      <c r="A1230" s="2">
        <v>45813</v>
      </c>
      <c r="B1230">
        <v>49</v>
      </c>
      <c r="C1230">
        <v>33</v>
      </c>
      <c r="D1230">
        <v>62</v>
      </c>
      <c r="E1230">
        <v>144</v>
      </c>
      <c r="F1230">
        <v>85</v>
      </c>
      <c r="G1230">
        <v>22.25</v>
      </c>
      <c r="H1230">
        <v>3204.43</v>
      </c>
    </row>
    <row r="1231" spans="1:8" x14ac:dyDescent="0.2">
      <c r="A1231" s="2">
        <v>45814</v>
      </c>
      <c r="B1231">
        <v>77</v>
      </c>
      <c r="C1231">
        <v>48</v>
      </c>
      <c r="D1231">
        <v>80</v>
      </c>
      <c r="E1231">
        <v>205</v>
      </c>
      <c r="F1231">
        <v>87</v>
      </c>
      <c r="G1231">
        <v>29.64</v>
      </c>
      <c r="H1231">
        <v>6076.58</v>
      </c>
    </row>
    <row r="1232" spans="1:8" x14ac:dyDescent="0.2">
      <c r="A1232" s="2">
        <v>45815</v>
      </c>
      <c r="B1232">
        <v>170</v>
      </c>
      <c r="C1232">
        <v>46</v>
      </c>
      <c r="D1232">
        <v>92</v>
      </c>
      <c r="E1232">
        <v>308</v>
      </c>
      <c r="F1232">
        <v>89</v>
      </c>
      <c r="G1232">
        <v>22.65</v>
      </c>
      <c r="H1232">
        <v>6975.66</v>
      </c>
    </row>
    <row r="1233" spans="1:8" x14ac:dyDescent="0.2">
      <c r="A1233" s="2">
        <v>45816</v>
      </c>
      <c r="B1233">
        <v>33</v>
      </c>
      <c r="C1233">
        <v>34</v>
      </c>
      <c r="D1233">
        <v>67</v>
      </c>
      <c r="E1233">
        <v>134</v>
      </c>
      <c r="F1233">
        <v>80</v>
      </c>
      <c r="G1233">
        <v>23.76</v>
      </c>
      <c r="H1233">
        <v>3184.48</v>
      </c>
    </row>
    <row r="1234" spans="1:8" x14ac:dyDescent="0.2">
      <c r="A1234" s="2">
        <v>45817</v>
      </c>
      <c r="B1234">
        <v>36</v>
      </c>
      <c r="C1234">
        <v>15</v>
      </c>
      <c r="D1234">
        <v>39</v>
      </c>
      <c r="E1234">
        <v>90</v>
      </c>
      <c r="F1234">
        <v>92</v>
      </c>
      <c r="G1234">
        <v>26.69</v>
      </c>
      <c r="H1234">
        <v>2402.5100000000002</v>
      </c>
    </row>
    <row r="1235" spans="1:8" x14ac:dyDescent="0.2">
      <c r="A1235" s="2">
        <v>45818</v>
      </c>
      <c r="B1235">
        <v>37</v>
      </c>
      <c r="C1235">
        <v>12</v>
      </c>
      <c r="D1235">
        <v>54</v>
      </c>
      <c r="E1235">
        <v>103</v>
      </c>
      <c r="F1235">
        <v>77</v>
      </c>
      <c r="G1235">
        <v>26.39</v>
      </c>
      <c r="H1235">
        <v>2718.49</v>
      </c>
    </row>
    <row r="1236" spans="1:8" x14ac:dyDescent="0.2">
      <c r="A1236" s="2">
        <v>45819</v>
      </c>
      <c r="B1236">
        <v>11</v>
      </c>
      <c r="C1236">
        <v>12</v>
      </c>
      <c r="D1236">
        <v>63</v>
      </c>
      <c r="E1236">
        <v>86</v>
      </c>
      <c r="F1236">
        <v>87</v>
      </c>
      <c r="G1236">
        <v>20.260000000000002</v>
      </c>
      <c r="H1236">
        <v>1742.13</v>
      </c>
    </row>
    <row r="1237" spans="1:8" x14ac:dyDescent="0.2">
      <c r="A1237" s="2">
        <v>45820</v>
      </c>
      <c r="B1237">
        <v>37</v>
      </c>
      <c r="C1237">
        <v>7</v>
      </c>
      <c r="D1237">
        <v>58</v>
      </c>
      <c r="E1237">
        <v>102</v>
      </c>
      <c r="F1237">
        <v>76</v>
      </c>
      <c r="G1237">
        <v>25.77</v>
      </c>
      <c r="H1237">
        <v>2628.79</v>
      </c>
    </row>
    <row r="1238" spans="1:8" x14ac:dyDescent="0.2">
      <c r="A1238" s="2">
        <v>45821</v>
      </c>
      <c r="B1238">
        <v>124</v>
      </c>
      <c r="C1238">
        <v>32</v>
      </c>
      <c r="D1238">
        <v>69</v>
      </c>
      <c r="E1238">
        <v>225</v>
      </c>
      <c r="F1238">
        <v>92</v>
      </c>
      <c r="G1238">
        <v>30.54</v>
      </c>
      <c r="H1238">
        <v>6870.65</v>
      </c>
    </row>
    <row r="1239" spans="1:8" x14ac:dyDescent="0.2">
      <c r="A1239" s="2">
        <v>45822</v>
      </c>
      <c r="B1239">
        <v>187</v>
      </c>
      <c r="C1239">
        <v>36</v>
      </c>
      <c r="D1239">
        <v>61</v>
      </c>
      <c r="E1239">
        <v>284</v>
      </c>
      <c r="F1239">
        <v>91</v>
      </c>
      <c r="G1239">
        <v>29.36</v>
      </c>
      <c r="H1239">
        <v>8336.89</v>
      </c>
    </row>
    <row r="1240" spans="1:8" x14ac:dyDescent="0.2">
      <c r="A1240" s="2">
        <v>45823</v>
      </c>
      <c r="B1240">
        <v>106</v>
      </c>
      <c r="C1240">
        <v>58</v>
      </c>
      <c r="D1240">
        <v>37</v>
      </c>
      <c r="E1240">
        <v>201</v>
      </c>
      <c r="F1240">
        <v>88</v>
      </c>
      <c r="G1240">
        <v>23.69</v>
      </c>
      <c r="H1240">
        <v>4762.67</v>
      </c>
    </row>
    <row r="1241" spans="1:8" x14ac:dyDescent="0.2">
      <c r="A1241" s="2">
        <v>45824</v>
      </c>
      <c r="B1241">
        <v>8</v>
      </c>
      <c r="C1241">
        <v>16</v>
      </c>
      <c r="D1241">
        <v>78</v>
      </c>
      <c r="E1241">
        <v>102</v>
      </c>
      <c r="F1241">
        <v>78</v>
      </c>
      <c r="G1241">
        <v>29.13</v>
      </c>
      <c r="H1241">
        <v>2971.55</v>
      </c>
    </row>
    <row r="1242" spans="1:8" x14ac:dyDescent="0.2">
      <c r="A1242" s="2">
        <v>45825</v>
      </c>
      <c r="B1242">
        <v>60</v>
      </c>
      <c r="C1242">
        <v>6</v>
      </c>
      <c r="D1242">
        <v>62</v>
      </c>
      <c r="E1242">
        <v>128</v>
      </c>
      <c r="F1242">
        <v>80</v>
      </c>
      <c r="G1242">
        <v>16.11</v>
      </c>
      <c r="H1242">
        <v>2061.4699999999998</v>
      </c>
    </row>
    <row r="1243" spans="1:8" x14ac:dyDescent="0.2">
      <c r="A1243" s="2">
        <v>45826</v>
      </c>
      <c r="B1243">
        <v>43</v>
      </c>
      <c r="C1243">
        <v>6</v>
      </c>
      <c r="D1243">
        <v>42</v>
      </c>
      <c r="E1243">
        <v>91</v>
      </c>
      <c r="F1243">
        <v>84</v>
      </c>
      <c r="G1243">
        <v>32.78</v>
      </c>
      <c r="H1243">
        <v>2982.93</v>
      </c>
    </row>
    <row r="1244" spans="1:8" x14ac:dyDescent="0.2">
      <c r="A1244" s="2">
        <v>45827</v>
      </c>
      <c r="B1244">
        <v>31</v>
      </c>
      <c r="C1244">
        <v>18</v>
      </c>
      <c r="D1244">
        <v>50</v>
      </c>
      <c r="E1244">
        <v>99</v>
      </c>
      <c r="F1244">
        <v>86</v>
      </c>
      <c r="G1244">
        <v>30.11</v>
      </c>
      <c r="H1244">
        <v>2981.35</v>
      </c>
    </row>
    <row r="1245" spans="1:8" x14ac:dyDescent="0.2">
      <c r="A1245" s="2">
        <v>45828</v>
      </c>
      <c r="B1245">
        <v>61</v>
      </c>
      <c r="C1245">
        <v>28</v>
      </c>
      <c r="D1245">
        <v>87</v>
      </c>
      <c r="E1245">
        <v>176</v>
      </c>
      <c r="F1245">
        <v>79</v>
      </c>
      <c r="G1245">
        <v>28.74</v>
      </c>
      <c r="H1245">
        <v>5058.63</v>
      </c>
    </row>
    <row r="1246" spans="1:8" x14ac:dyDescent="0.2">
      <c r="A1246" s="2">
        <v>45829</v>
      </c>
      <c r="B1246">
        <v>147</v>
      </c>
      <c r="C1246">
        <v>55</v>
      </c>
      <c r="D1246">
        <v>91</v>
      </c>
      <c r="E1246">
        <v>293</v>
      </c>
      <c r="F1246">
        <v>90</v>
      </c>
      <c r="G1246">
        <v>26.66</v>
      </c>
      <c r="H1246">
        <v>7811.92</v>
      </c>
    </row>
    <row r="1247" spans="1:8" x14ac:dyDescent="0.2">
      <c r="A1247" s="2">
        <v>45830</v>
      </c>
      <c r="B1247">
        <v>45</v>
      </c>
      <c r="C1247">
        <v>17</v>
      </c>
      <c r="D1247">
        <v>119</v>
      </c>
      <c r="E1247">
        <v>181</v>
      </c>
      <c r="F1247">
        <v>77</v>
      </c>
      <c r="G1247">
        <v>23.96</v>
      </c>
      <c r="H1247">
        <v>4336.83</v>
      </c>
    </row>
    <row r="1248" spans="1:8" x14ac:dyDescent="0.2">
      <c r="A1248" s="2">
        <v>45831</v>
      </c>
      <c r="B1248">
        <v>34</v>
      </c>
      <c r="C1248">
        <v>12</v>
      </c>
      <c r="D1248">
        <v>83</v>
      </c>
      <c r="E1248">
        <v>129</v>
      </c>
      <c r="F1248">
        <v>84</v>
      </c>
      <c r="G1248">
        <v>20.99</v>
      </c>
      <c r="H1248">
        <v>2708.06</v>
      </c>
    </row>
    <row r="1249" spans="1:8" x14ac:dyDescent="0.2">
      <c r="A1249" s="2">
        <v>45832</v>
      </c>
      <c r="B1249">
        <v>46</v>
      </c>
      <c r="C1249">
        <v>12</v>
      </c>
      <c r="D1249">
        <v>52</v>
      </c>
      <c r="E1249">
        <v>110</v>
      </c>
      <c r="F1249">
        <v>80</v>
      </c>
      <c r="G1249">
        <v>31.09</v>
      </c>
      <c r="H1249">
        <v>3420.3</v>
      </c>
    </row>
    <row r="1250" spans="1:8" x14ac:dyDescent="0.2">
      <c r="A1250" s="2">
        <v>45833</v>
      </c>
      <c r="B1250">
        <v>45</v>
      </c>
      <c r="C1250">
        <v>28</v>
      </c>
      <c r="D1250">
        <v>50</v>
      </c>
      <c r="E1250">
        <v>123</v>
      </c>
      <c r="F1250">
        <v>90</v>
      </c>
      <c r="G1250">
        <v>20.94</v>
      </c>
      <c r="H1250">
        <v>2576.0300000000002</v>
      </c>
    </row>
    <row r="1251" spans="1:8" x14ac:dyDescent="0.2">
      <c r="A1251" s="2">
        <v>45834</v>
      </c>
      <c r="B1251">
        <v>62</v>
      </c>
      <c r="C1251">
        <v>8</v>
      </c>
      <c r="D1251">
        <v>60</v>
      </c>
      <c r="E1251">
        <v>130</v>
      </c>
      <c r="F1251">
        <v>91</v>
      </c>
      <c r="G1251">
        <v>21.76</v>
      </c>
      <c r="H1251">
        <v>2828.22</v>
      </c>
    </row>
    <row r="1252" spans="1:8" x14ac:dyDescent="0.2">
      <c r="A1252" s="2">
        <v>45835</v>
      </c>
      <c r="B1252">
        <v>122</v>
      </c>
      <c r="C1252">
        <v>35</v>
      </c>
      <c r="D1252">
        <v>55</v>
      </c>
      <c r="E1252">
        <v>212</v>
      </c>
      <c r="F1252">
        <v>90</v>
      </c>
      <c r="G1252">
        <v>24.53</v>
      </c>
      <c r="H1252">
        <v>5201.29</v>
      </c>
    </row>
    <row r="1253" spans="1:8" x14ac:dyDescent="0.2">
      <c r="A1253" s="2">
        <v>45836</v>
      </c>
      <c r="B1253">
        <v>186</v>
      </c>
      <c r="C1253">
        <v>73</v>
      </c>
      <c r="D1253">
        <v>53</v>
      </c>
      <c r="E1253">
        <v>312</v>
      </c>
      <c r="F1253">
        <v>89</v>
      </c>
      <c r="G1253">
        <v>27.15</v>
      </c>
      <c r="H1253">
        <v>8471.7900000000009</v>
      </c>
    </row>
    <row r="1254" spans="1:8" x14ac:dyDescent="0.2">
      <c r="A1254" s="2">
        <v>45837</v>
      </c>
      <c r="B1254">
        <v>76</v>
      </c>
      <c r="C1254">
        <v>8</v>
      </c>
      <c r="D1254">
        <v>76</v>
      </c>
      <c r="E1254">
        <v>162</v>
      </c>
      <c r="F1254">
        <v>88</v>
      </c>
      <c r="G1254">
        <v>19.29</v>
      </c>
      <c r="H1254">
        <v>3125.56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2C0D-B57F-4A4E-92A5-745FD52B1944}">
  <dimension ref="A1:C821"/>
  <sheetViews>
    <sheetView workbookViewId="0">
      <selection activeCell="F27" sqref="F27"/>
    </sheetView>
  </sheetViews>
  <sheetFormatPr baseColWidth="10" defaultRowHeight="16" x14ac:dyDescent="0.2"/>
  <cols>
    <col min="2" max="2" width="13.5" customWidth="1"/>
    <col min="3" max="3" width="11.5" customWidth="1"/>
  </cols>
  <sheetData>
    <row r="1" spans="1:3" x14ac:dyDescent="0.2">
      <c r="A1" t="s">
        <v>0</v>
      </c>
      <c r="B1" t="s">
        <v>50</v>
      </c>
      <c r="C1" t="s">
        <v>49</v>
      </c>
    </row>
    <row r="2" spans="1:3" x14ac:dyDescent="0.2">
      <c r="A2" s="2">
        <v>44994</v>
      </c>
      <c r="B2">
        <v>4327.46</v>
      </c>
      <c r="C2">
        <v>3601.46</v>
      </c>
    </row>
    <row r="3" spans="1:3" x14ac:dyDescent="0.2">
      <c r="A3" s="2">
        <v>44995</v>
      </c>
      <c r="B3">
        <v>6478.88</v>
      </c>
      <c r="C3">
        <v>6325.12</v>
      </c>
    </row>
    <row r="4" spans="1:3" x14ac:dyDescent="0.2">
      <c r="A4" s="2">
        <v>44996</v>
      </c>
      <c r="B4">
        <v>9952.85</v>
      </c>
      <c r="C4">
        <v>9710.02</v>
      </c>
    </row>
    <row r="5" spans="1:3" x14ac:dyDescent="0.2">
      <c r="A5" s="2">
        <v>44997</v>
      </c>
      <c r="B5">
        <v>5739.53</v>
      </c>
      <c r="C5">
        <v>5545.51</v>
      </c>
    </row>
    <row r="6" spans="1:3" x14ac:dyDescent="0.2">
      <c r="A6" s="2">
        <v>44998</v>
      </c>
      <c r="B6">
        <v>2627.89</v>
      </c>
      <c r="C6">
        <v>2535.61</v>
      </c>
    </row>
    <row r="7" spans="1:3" x14ac:dyDescent="0.2">
      <c r="A7" s="2">
        <v>44999</v>
      </c>
      <c r="B7">
        <v>1816.8</v>
      </c>
      <c r="C7">
        <v>1733.23</v>
      </c>
    </row>
    <row r="8" spans="1:3" x14ac:dyDescent="0.2">
      <c r="A8" s="2">
        <v>45000</v>
      </c>
      <c r="B8">
        <v>2709.69</v>
      </c>
      <c r="C8">
        <v>2614.42</v>
      </c>
    </row>
    <row r="9" spans="1:3" x14ac:dyDescent="0.2">
      <c r="A9" s="2">
        <v>45001</v>
      </c>
      <c r="B9">
        <v>2746.52</v>
      </c>
      <c r="C9">
        <v>2631.4</v>
      </c>
    </row>
    <row r="10" spans="1:3" x14ac:dyDescent="0.2">
      <c r="A10" s="2">
        <v>45002</v>
      </c>
      <c r="B10">
        <v>5493.97</v>
      </c>
      <c r="C10">
        <v>5260.35</v>
      </c>
    </row>
    <row r="11" spans="1:3" x14ac:dyDescent="0.2">
      <c r="A11" s="2">
        <v>45003</v>
      </c>
      <c r="B11">
        <v>9514.7099999999991</v>
      </c>
      <c r="C11">
        <v>9237.35</v>
      </c>
    </row>
    <row r="12" spans="1:3" x14ac:dyDescent="0.2">
      <c r="A12" s="2">
        <v>45004</v>
      </c>
      <c r="B12">
        <v>7327.55</v>
      </c>
      <c r="C12">
        <v>6882.09</v>
      </c>
    </row>
    <row r="13" spans="1:3" x14ac:dyDescent="0.2">
      <c r="A13" s="2">
        <v>45005</v>
      </c>
      <c r="B13">
        <v>3514.34</v>
      </c>
      <c r="C13">
        <v>3462.9</v>
      </c>
    </row>
    <row r="14" spans="1:3" x14ac:dyDescent="0.2">
      <c r="A14" s="2">
        <v>45006</v>
      </c>
      <c r="B14">
        <v>3159.42</v>
      </c>
      <c r="C14">
        <v>3139.65</v>
      </c>
    </row>
    <row r="15" spans="1:3" x14ac:dyDescent="0.2">
      <c r="A15" s="2">
        <v>45007</v>
      </c>
      <c r="B15">
        <v>2575.6</v>
      </c>
      <c r="C15">
        <v>2455.1799999999998</v>
      </c>
    </row>
    <row r="16" spans="1:3" x14ac:dyDescent="0.2">
      <c r="A16" s="2">
        <v>45008</v>
      </c>
      <c r="B16">
        <v>3903.34</v>
      </c>
      <c r="C16">
        <v>3820.38</v>
      </c>
    </row>
    <row r="17" spans="1:3" x14ac:dyDescent="0.2">
      <c r="A17" s="2">
        <v>45009</v>
      </c>
      <c r="B17">
        <v>6627.57</v>
      </c>
      <c r="C17">
        <v>6408.78</v>
      </c>
    </row>
    <row r="18" spans="1:3" x14ac:dyDescent="0.2">
      <c r="A18" s="2">
        <v>45010</v>
      </c>
      <c r="B18">
        <v>9986.7900000000009</v>
      </c>
      <c r="C18">
        <v>9637.64</v>
      </c>
    </row>
    <row r="19" spans="1:3" x14ac:dyDescent="0.2">
      <c r="A19" s="2">
        <v>45011</v>
      </c>
      <c r="B19">
        <v>3934.73</v>
      </c>
      <c r="C19">
        <v>3742.69</v>
      </c>
    </row>
    <row r="20" spans="1:3" x14ac:dyDescent="0.2">
      <c r="A20" s="2">
        <v>45012</v>
      </c>
      <c r="B20">
        <v>2809.07</v>
      </c>
      <c r="C20">
        <v>2619.4499999999998</v>
      </c>
    </row>
    <row r="21" spans="1:3" x14ac:dyDescent="0.2">
      <c r="A21" s="2">
        <v>45013</v>
      </c>
      <c r="B21">
        <v>3647.87</v>
      </c>
      <c r="C21">
        <v>3573.87</v>
      </c>
    </row>
    <row r="22" spans="1:3" x14ac:dyDescent="0.2">
      <c r="A22" s="2">
        <v>45014</v>
      </c>
      <c r="B22">
        <v>2844.97</v>
      </c>
      <c r="C22">
        <v>2720.8</v>
      </c>
    </row>
    <row r="23" spans="1:3" x14ac:dyDescent="0.2">
      <c r="A23" s="2">
        <v>45015</v>
      </c>
      <c r="B23">
        <v>3634.32</v>
      </c>
      <c r="C23">
        <v>3606.24</v>
      </c>
    </row>
    <row r="24" spans="1:3" x14ac:dyDescent="0.2">
      <c r="A24" s="2">
        <v>45016</v>
      </c>
      <c r="B24">
        <v>5125.26</v>
      </c>
      <c r="C24">
        <v>5009.57</v>
      </c>
    </row>
    <row r="25" spans="1:3" x14ac:dyDescent="0.2">
      <c r="A25" s="2">
        <v>45017</v>
      </c>
      <c r="B25">
        <v>9046.2199999999993</v>
      </c>
      <c r="C25">
        <v>8853.1</v>
      </c>
    </row>
    <row r="26" spans="1:3" x14ac:dyDescent="0.2">
      <c r="A26" s="2">
        <v>45018</v>
      </c>
      <c r="B26">
        <v>4955.83</v>
      </c>
      <c r="C26">
        <v>4851.68</v>
      </c>
    </row>
    <row r="27" spans="1:3" x14ac:dyDescent="0.2">
      <c r="A27" s="2">
        <v>45019</v>
      </c>
      <c r="B27">
        <v>4944.2</v>
      </c>
      <c r="C27">
        <v>4709.91</v>
      </c>
    </row>
    <row r="28" spans="1:3" x14ac:dyDescent="0.2">
      <c r="A28" s="2">
        <v>45020</v>
      </c>
      <c r="B28">
        <v>5796.87</v>
      </c>
      <c r="C28">
        <v>5722.85</v>
      </c>
    </row>
    <row r="29" spans="1:3" x14ac:dyDescent="0.2">
      <c r="A29" s="2">
        <v>45021</v>
      </c>
      <c r="B29">
        <v>4465.92</v>
      </c>
      <c r="C29">
        <v>4381</v>
      </c>
    </row>
    <row r="30" spans="1:3" x14ac:dyDescent="0.2">
      <c r="A30" s="2">
        <v>45022</v>
      </c>
      <c r="B30">
        <v>5910.75</v>
      </c>
      <c r="C30">
        <v>5574.67</v>
      </c>
    </row>
    <row r="31" spans="1:3" x14ac:dyDescent="0.2">
      <c r="A31" s="2">
        <v>45023</v>
      </c>
      <c r="B31">
        <v>7706.01</v>
      </c>
      <c r="C31">
        <v>7511.49</v>
      </c>
    </row>
    <row r="32" spans="1:3" x14ac:dyDescent="0.2">
      <c r="A32" s="2">
        <v>45024</v>
      </c>
      <c r="B32">
        <v>9177.36</v>
      </c>
      <c r="C32">
        <v>8838.39</v>
      </c>
    </row>
    <row r="33" spans="1:3" x14ac:dyDescent="0.2">
      <c r="A33" s="2">
        <v>45025</v>
      </c>
      <c r="B33">
        <v>6667.56</v>
      </c>
      <c r="C33">
        <v>6492.07</v>
      </c>
    </row>
    <row r="34" spans="1:3" x14ac:dyDescent="0.2">
      <c r="A34" s="2">
        <v>45026</v>
      </c>
      <c r="B34">
        <v>4899.1099999999997</v>
      </c>
      <c r="C34">
        <v>4766.4399999999996</v>
      </c>
    </row>
    <row r="35" spans="1:3" x14ac:dyDescent="0.2">
      <c r="A35" s="2">
        <v>45027</v>
      </c>
      <c r="B35">
        <v>5247.81</v>
      </c>
      <c r="C35">
        <v>5051.9399999999996</v>
      </c>
    </row>
    <row r="36" spans="1:3" x14ac:dyDescent="0.2">
      <c r="A36" s="2">
        <v>45028</v>
      </c>
      <c r="B36">
        <v>4332.3100000000004</v>
      </c>
      <c r="C36">
        <v>4188.1499999999996</v>
      </c>
    </row>
    <row r="37" spans="1:3" x14ac:dyDescent="0.2">
      <c r="A37" s="2">
        <v>45029</v>
      </c>
      <c r="B37">
        <v>5705.9</v>
      </c>
      <c r="C37">
        <v>5524.37</v>
      </c>
    </row>
    <row r="38" spans="1:3" x14ac:dyDescent="0.2">
      <c r="A38" s="2">
        <v>45030</v>
      </c>
      <c r="B38">
        <v>6541.49</v>
      </c>
      <c r="C38">
        <v>6376.3</v>
      </c>
    </row>
    <row r="39" spans="1:3" x14ac:dyDescent="0.2">
      <c r="A39" s="2">
        <v>45031</v>
      </c>
      <c r="B39">
        <v>10303.66</v>
      </c>
      <c r="C39">
        <v>10035.99</v>
      </c>
    </row>
    <row r="40" spans="1:3" x14ac:dyDescent="0.2">
      <c r="A40" s="2">
        <v>45032</v>
      </c>
      <c r="B40">
        <v>3867.91</v>
      </c>
      <c r="C40">
        <v>3736.89</v>
      </c>
    </row>
    <row r="41" spans="1:3" x14ac:dyDescent="0.2">
      <c r="A41" s="2">
        <v>45033</v>
      </c>
      <c r="B41">
        <v>3078.65</v>
      </c>
      <c r="C41">
        <v>2930.15</v>
      </c>
    </row>
    <row r="42" spans="1:3" x14ac:dyDescent="0.2">
      <c r="A42" s="2">
        <v>45034</v>
      </c>
      <c r="B42">
        <v>4743.76</v>
      </c>
      <c r="C42">
        <v>4633.09</v>
      </c>
    </row>
    <row r="43" spans="1:3" x14ac:dyDescent="0.2">
      <c r="A43" s="2">
        <v>45035</v>
      </c>
      <c r="B43">
        <v>4143.34</v>
      </c>
      <c r="C43">
        <v>4058.95</v>
      </c>
    </row>
    <row r="44" spans="1:3" x14ac:dyDescent="0.2">
      <c r="A44" s="2">
        <v>45036</v>
      </c>
      <c r="B44">
        <v>3063.03</v>
      </c>
      <c r="C44">
        <v>3023.61</v>
      </c>
    </row>
    <row r="45" spans="1:3" x14ac:dyDescent="0.2">
      <c r="A45" s="2">
        <v>45037</v>
      </c>
      <c r="B45">
        <v>5791.34</v>
      </c>
      <c r="C45">
        <v>5688.57</v>
      </c>
    </row>
    <row r="46" spans="1:3" x14ac:dyDescent="0.2">
      <c r="A46" s="2">
        <v>45038</v>
      </c>
      <c r="B46">
        <v>9749.16</v>
      </c>
      <c r="C46">
        <v>9510.64</v>
      </c>
    </row>
    <row r="47" spans="1:3" x14ac:dyDescent="0.2">
      <c r="A47" s="2">
        <v>45039</v>
      </c>
      <c r="B47">
        <v>3383.65</v>
      </c>
      <c r="C47">
        <v>3260.92</v>
      </c>
    </row>
    <row r="48" spans="1:3" x14ac:dyDescent="0.2">
      <c r="A48" s="2">
        <v>45040</v>
      </c>
      <c r="B48">
        <v>4138.2700000000004</v>
      </c>
      <c r="C48">
        <v>4037.78</v>
      </c>
    </row>
    <row r="49" spans="1:3" x14ac:dyDescent="0.2">
      <c r="A49" s="2">
        <v>45041</v>
      </c>
      <c r="B49">
        <v>4037.63</v>
      </c>
      <c r="C49">
        <v>3967.88</v>
      </c>
    </row>
    <row r="50" spans="1:3" x14ac:dyDescent="0.2">
      <c r="A50" s="2">
        <v>45042</v>
      </c>
      <c r="B50">
        <v>3207.79</v>
      </c>
      <c r="C50">
        <v>3137.22</v>
      </c>
    </row>
    <row r="51" spans="1:3" x14ac:dyDescent="0.2">
      <c r="A51" s="2">
        <v>45043</v>
      </c>
      <c r="B51">
        <v>3488.85</v>
      </c>
      <c r="C51">
        <v>3416.14</v>
      </c>
    </row>
    <row r="52" spans="1:3" x14ac:dyDescent="0.2">
      <c r="A52" s="2">
        <v>45044</v>
      </c>
      <c r="B52">
        <v>7124.88</v>
      </c>
      <c r="C52">
        <v>6921.91</v>
      </c>
    </row>
    <row r="53" spans="1:3" x14ac:dyDescent="0.2">
      <c r="A53" s="2">
        <v>45045</v>
      </c>
      <c r="B53">
        <v>10685.51</v>
      </c>
      <c r="C53">
        <v>10432.700000000001</v>
      </c>
    </row>
    <row r="54" spans="1:3" x14ac:dyDescent="0.2">
      <c r="A54" s="2">
        <v>45046</v>
      </c>
      <c r="B54">
        <v>8320.7199999999993</v>
      </c>
      <c r="C54">
        <v>8158.14</v>
      </c>
    </row>
    <row r="55" spans="1:3" x14ac:dyDescent="0.2">
      <c r="A55" s="2">
        <v>45047</v>
      </c>
      <c r="B55">
        <v>5709.01</v>
      </c>
      <c r="C55">
        <v>5454.43</v>
      </c>
    </row>
    <row r="56" spans="1:3" x14ac:dyDescent="0.2">
      <c r="A56" s="2">
        <v>45048</v>
      </c>
      <c r="B56">
        <v>4073.06</v>
      </c>
      <c r="C56">
        <v>3971.15</v>
      </c>
    </row>
    <row r="57" spans="1:3" x14ac:dyDescent="0.2">
      <c r="A57" s="2">
        <v>45049</v>
      </c>
      <c r="B57">
        <v>2707.98</v>
      </c>
      <c r="C57">
        <v>2656.54</v>
      </c>
    </row>
    <row r="58" spans="1:3" x14ac:dyDescent="0.2">
      <c r="A58" s="2">
        <v>45050</v>
      </c>
      <c r="B58">
        <v>3313.38</v>
      </c>
      <c r="C58">
        <v>3208.48</v>
      </c>
    </row>
    <row r="59" spans="1:3" x14ac:dyDescent="0.2">
      <c r="A59" s="2">
        <v>45051</v>
      </c>
      <c r="B59">
        <v>6055.92</v>
      </c>
      <c r="C59">
        <v>5853.75</v>
      </c>
    </row>
    <row r="60" spans="1:3" x14ac:dyDescent="0.2">
      <c r="A60" s="2">
        <v>45052</v>
      </c>
      <c r="B60">
        <v>7809.23</v>
      </c>
      <c r="C60">
        <v>7546.11</v>
      </c>
    </row>
    <row r="61" spans="1:3" x14ac:dyDescent="0.2">
      <c r="A61" s="2">
        <v>45053</v>
      </c>
      <c r="B61">
        <v>5401.18</v>
      </c>
      <c r="C61">
        <v>5231.82</v>
      </c>
    </row>
    <row r="62" spans="1:3" x14ac:dyDescent="0.2">
      <c r="A62" s="2">
        <v>45054</v>
      </c>
      <c r="B62">
        <v>4483.6400000000003</v>
      </c>
      <c r="C62">
        <v>4390.62</v>
      </c>
    </row>
    <row r="63" spans="1:3" x14ac:dyDescent="0.2">
      <c r="A63" s="2">
        <v>45055</v>
      </c>
      <c r="B63">
        <v>2058.63</v>
      </c>
      <c r="C63">
        <v>1901.23</v>
      </c>
    </row>
    <row r="64" spans="1:3" x14ac:dyDescent="0.2">
      <c r="A64" s="2">
        <v>45056</v>
      </c>
      <c r="B64">
        <v>3647.93</v>
      </c>
      <c r="C64">
        <v>3545.73</v>
      </c>
    </row>
    <row r="65" spans="1:3" x14ac:dyDescent="0.2">
      <c r="A65" s="2">
        <v>45057</v>
      </c>
      <c r="B65">
        <v>3798.8</v>
      </c>
      <c r="C65">
        <v>3598.68</v>
      </c>
    </row>
    <row r="66" spans="1:3" x14ac:dyDescent="0.2">
      <c r="A66" s="2">
        <v>45058</v>
      </c>
      <c r="B66">
        <v>4444.4799999999996</v>
      </c>
      <c r="C66">
        <v>4291.0600000000004</v>
      </c>
    </row>
    <row r="67" spans="1:3" x14ac:dyDescent="0.2">
      <c r="A67" s="2">
        <v>45059</v>
      </c>
      <c r="B67">
        <v>7151.31</v>
      </c>
      <c r="C67">
        <v>6754.76</v>
      </c>
    </row>
    <row r="68" spans="1:3" x14ac:dyDescent="0.2">
      <c r="A68" s="2">
        <v>45060</v>
      </c>
      <c r="B68">
        <v>3961.22</v>
      </c>
      <c r="C68">
        <v>3879.94</v>
      </c>
    </row>
    <row r="69" spans="1:3" x14ac:dyDescent="0.2">
      <c r="A69" s="2">
        <v>45061</v>
      </c>
      <c r="B69">
        <v>2457.08</v>
      </c>
      <c r="C69">
        <v>2420.96</v>
      </c>
    </row>
    <row r="70" spans="1:3" x14ac:dyDescent="0.2">
      <c r="A70" s="2">
        <v>45062</v>
      </c>
      <c r="B70">
        <v>3008.92</v>
      </c>
      <c r="C70">
        <v>2992.13</v>
      </c>
    </row>
    <row r="71" spans="1:3" x14ac:dyDescent="0.2">
      <c r="A71" s="2">
        <v>45063</v>
      </c>
      <c r="B71">
        <v>4529.29</v>
      </c>
      <c r="C71">
        <v>4448.92</v>
      </c>
    </row>
    <row r="72" spans="1:3" x14ac:dyDescent="0.2">
      <c r="A72" s="2">
        <v>45064</v>
      </c>
      <c r="B72">
        <v>3427.17</v>
      </c>
      <c r="C72">
        <v>3284.21</v>
      </c>
    </row>
    <row r="73" spans="1:3" x14ac:dyDescent="0.2">
      <c r="A73" s="2">
        <v>45065</v>
      </c>
      <c r="B73">
        <v>6871.59</v>
      </c>
      <c r="C73">
        <v>6663.53</v>
      </c>
    </row>
    <row r="74" spans="1:3" x14ac:dyDescent="0.2">
      <c r="A74" s="2">
        <v>45066</v>
      </c>
      <c r="B74">
        <v>7935.43</v>
      </c>
      <c r="C74">
        <v>7711.62</v>
      </c>
    </row>
    <row r="75" spans="1:3" x14ac:dyDescent="0.2">
      <c r="A75" s="2">
        <v>45067</v>
      </c>
      <c r="B75">
        <v>3691.47</v>
      </c>
      <c r="C75">
        <v>3537.49</v>
      </c>
    </row>
    <row r="76" spans="1:3" x14ac:dyDescent="0.2">
      <c r="A76" s="2">
        <v>45068</v>
      </c>
      <c r="B76">
        <v>2923.45</v>
      </c>
      <c r="C76">
        <v>2872.55</v>
      </c>
    </row>
    <row r="77" spans="1:3" x14ac:dyDescent="0.2">
      <c r="A77" s="2">
        <v>45069</v>
      </c>
      <c r="B77">
        <v>3514.77</v>
      </c>
      <c r="C77">
        <v>3465.81</v>
      </c>
    </row>
    <row r="78" spans="1:3" x14ac:dyDescent="0.2">
      <c r="A78" s="2">
        <v>45070</v>
      </c>
      <c r="B78">
        <v>3087.17</v>
      </c>
      <c r="C78">
        <v>2958.75</v>
      </c>
    </row>
    <row r="79" spans="1:3" x14ac:dyDescent="0.2">
      <c r="A79" s="2">
        <v>45071</v>
      </c>
      <c r="B79">
        <v>3375.04</v>
      </c>
      <c r="C79">
        <v>3253.85</v>
      </c>
    </row>
    <row r="80" spans="1:3" x14ac:dyDescent="0.2">
      <c r="A80" s="2">
        <v>45072</v>
      </c>
      <c r="B80">
        <v>6424.82</v>
      </c>
      <c r="C80">
        <v>6184.96</v>
      </c>
    </row>
    <row r="81" spans="1:3" x14ac:dyDescent="0.2">
      <c r="A81" s="2">
        <v>45073</v>
      </c>
      <c r="B81">
        <v>8861.75</v>
      </c>
      <c r="C81">
        <v>8530.94</v>
      </c>
    </row>
    <row r="82" spans="1:3" x14ac:dyDescent="0.2">
      <c r="A82" s="2">
        <v>45074</v>
      </c>
      <c r="B82">
        <v>7500.68</v>
      </c>
      <c r="C82">
        <v>7316.68</v>
      </c>
    </row>
    <row r="83" spans="1:3" x14ac:dyDescent="0.2">
      <c r="A83" s="2">
        <v>45075</v>
      </c>
      <c r="B83">
        <v>4577.24</v>
      </c>
      <c r="C83">
        <v>4496.95</v>
      </c>
    </row>
    <row r="84" spans="1:3" x14ac:dyDescent="0.2">
      <c r="A84" s="2">
        <v>45076</v>
      </c>
      <c r="B84">
        <v>4465.4399999999996</v>
      </c>
      <c r="C84">
        <v>4397.3999999999996</v>
      </c>
    </row>
    <row r="85" spans="1:3" x14ac:dyDescent="0.2">
      <c r="A85" s="2">
        <v>45077</v>
      </c>
      <c r="B85">
        <v>4756.41</v>
      </c>
      <c r="C85">
        <v>4711.2700000000004</v>
      </c>
    </row>
    <row r="86" spans="1:3" x14ac:dyDescent="0.2">
      <c r="A86" s="2">
        <v>45078</v>
      </c>
      <c r="B86">
        <v>5030.82</v>
      </c>
      <c r="C86">
        <v>4868.57</v>
      </c>
    </row>
    <row r="87" spans="1:3" x14ac:dyDescent="0.2">
      <c r="A87" s="2">
        <v>45079</v>
      </c>
      <c r="B87">
        <v>6743.63</v>
      </c>
      <c r="C87">
        <v>6518.96</v>
      </c>
    </row>
    <row r="88" spans="1:3" x14ac:dyDescent="0.2">
      <c r="A88" s="2">
        <v>45080</v>
      </c>
      <c r="B88">
        <v>7251.19</v>
      </c>
      <c r="C88">
        <v>7107.79</v>
      </c>
    </row>
    <row r="89" spans="1:3" x14ac:dyDescent="0.2">
      <c r="A89" s="2">
        <v>45081</v>
      </c>
      <c r="B89">
        <v>3272.84</v>
      </c>
      <c r="C89">
        <v>3185.51</v>
      </c>
    </row>
    <row r="90" spans="1:3" x14ac:dyDescent="0.2">
      <c r="A90" s="2">
        <v>45082</v>
      </c>
      <c r="B90">
        <v>3151.81</v>
      </c>
      <c r="C90">
        <v>3126.82</v>
      </c>
    </row>
    <row r="91" spans="1:3" x14ac:dyDescent="0.2">
      <c r="A91" s="2">
        <v>45083</v>
      </c>
      <c r="B91">
        <v>3825.11</v>
      </c>
      <c r="C91">
        <v>3805.61</v>
      </c>
    </row>
    <row r="92" spans="1:3" x14ac:dyDescent="0.2">
      <c r="A92" s="2">
        <v>45084</v>
      </c>
      <c r="B92">
        <v>2850.13</v>
      </c>
      <c r="C92">
        <v>2755.56</v>
      </c>
    </row>
    <row r="93" spans="1:3" x14ac:dyDescent="0.2">
      <c r="A93" s="2">
        <v>45085</v>
      </c>
      <c r="B93">
        <v>3155.92</v>
      </c>
      <c r="C93">
        <v>3096.55</v>
      </c>
    </row>
    <row r="94" spans="1:3" x14ac:dyDescent="0.2">
      <c r="A94" s="2">
        <v>45086</v>
      </c>
      <c r="B94">
        <v>5700.41</v>
      </c>
      <c r="C94">
        <v>5622.95</v>
      </c>
    </row>
    <row r="95" spans="1:3" x14ac:dyDescent="0.2">
      <c r="A95" s="2">
        <v>45087</v>
      </c>
      <c r="B95">
        <v>8605.69</v>
      </c>
      <c r="C95">
        <v>8445.3799999999992</v>
      </c>
    </row>
    <row r="96" spans="1:3" x14ac:dyDescent="0.2">
      <c r="A96" s="2">
        <v>45088</v>
      </c>
      <c r="B96">
        <v>4193.9399999999996</v>
      </c>
      <c r="C96">
        <v>4064.98</v>
      </c>
    </row>
    <row r="97" spans="1:3" x14ac:dyDescent="0.2">
      <c r="A97" s="2">
        <v>45089</v>
      </c>
      <c r="B97">
        <v>2968.74</v>
      </c>
      <c r="C97">
        <v>2858.78</v>
      </c>
    </row>
    <row r="98" spans="1:3" x14ac:dyDescent="0.2">
      <c r="A98" s="2">
        <v>45090</v>
      </c>
      <c r="B98">
        <v>2922.79</v>
      </c>
      <c r="C98">
        <v>2849.35</v>
      </c>
    </row>
    <row r="99" spans="1:3" x14ac:dyDescent="0.2">
      <c r="A99" s="2">
        <v>45091</v>
      </c>
      <c r="B99">
        <v>3322.78</v>
      </c>
      <c r="C99">
        <v>3213.67</v>
      </c>
    </row>
    <row r="100" spans="1:3" x14ac:dyDescent="0.2">
      <c r="A100" s="2">
        <v>45092</v>
      </c>
      <c r="B100">
        <v>3000.77</v>
      </c>
      <c r="C100">
        <v>2952.04</v>
      </c>
    </row>
    <row r="101" spans="1:3" x14ac:dyDescent="0.2">
      <c r="A101" s="2">
        <v>45093</v>
      </c>
      <c r="B101">
        <v>4756.8900000000003</v>
      </c>
      <c r="C101">
        <v>4589.6400000000003</v>
      </c>
    </row>
    <row r="102" spans="1:3" x14ac:dyDescent="0.2">
      <c r="A102" s="2">
        <v>45094</v>
      </c>
      <c r="B102">
        <v>8466</v>
      </c>
      <c r="C102">
        <v>8199.4500000000007</v>
      </c>
    </row>
    <row r="103" spans="1:3" x14ac:dyDescent="0.2">
      <c r="A103" s="2">
        <v>45095</v>
      </c>
      <c r="B103">
        <v>3937.31</v>
      </c>
      <c r="C103">
        <v>3868.55</v>
      </c>
    </row>
    <row r="104" spans="1:3" x14ac:dyDescent="0.2">
      <c r="A104" s="2">
        <v>45096</v>
      </c>
      <c r="B104">
        <v>3727.42</v>
      </c>
      <c r="C104">
        <v>3700.42</v>
      </c>
    </row>
    <row r="105" spans="1:3" x14ac:dyDescent="0.2">
      <c r="A105" s="2">
        <v>45097</v>
      </c>
      <c r="B105">
        <v>4655.46</v>
      </c>
      <c r="C105">
        <v>4615.67</v>
      </c>
    </row>
    <row r="106" spans="1:3" x14ac:dyDescent="0.2">
      <c r="A106" s="2">
        <v>45098</v>
      </c>
      <c r="B106">
        <v>2443.4</v>
      </c>
      <c r="C106">
        <v>2371.11</v>
      </c>
    </row>
    <row r="107" spans="1:3" x14ac:dyDescent="0.2">
      <c r="A107" s="2">
        <v>45099</v>
      </c>
      <c r="B107">
        <v>3810.17</v>
      </c>
      <c r="C107">
        <v>3742.75</v>
      </c>
    </row>
    <row r="108" spans="1:3" x14ac:dyDescent="0.2">
      <c r="A108" s="2">
        <v>45100</v>
      </c>
      <c r="B108">
        <v>6166.39</v>
      </c>
      <c r="C108">
        <v>5207.0600000000004</v>
      </c>
    </row>
    <row r="109" spans="1:3" x14ac:dyDescent="0.2">
      <c r="A109" s="2">
        <v>45101</v>
      </c>
      <c r="B109">
        <v>8399.41</v>
      </c>
      <c r="C109">
        <v>8116.14</v>
      </c>
    </row>
    <row r="110" spans="1:3" x14ac:dyDescent="0.2">
      <c r="A110" s="2">
        <v>45102</v>
      </c>
      <c r="B110">
        <v>3599.96</v>
      </c>
      <c r="C110">
        <v>3557.03</v>
      </c>
    </row>
    <row r="111" spans="1:3" x14ac:dyDescent="0.2">
      <c r="A111" s="2">
        <v>45103</v>
      </c>
      <c r="B111">
        <v>4807.96</v>
      </c>
      <c r="C111">
        <v>4730.04</v>
      </c>
    </row>
    <row r="112" spans="1:3" x14ac:dyDescent="0.2">
      <c r="A112" s="2">
        <v>45104</v>
      </c>
      <c r="B112">
        <v>3475.17</v>
      </c>
      <c r="C112">
        <v>3348.97</v>
      </c>
    </row>
    <row r="113" spans="1:3" x14ac:dyDescent="0.2">
      <c r="A113" s="2">
        <v>45105</v>
      </c>
      <c r="B113">
        <v>3183.01</v>
      </c>
      <c r="C113">
        <v>3065.84</v>
      </c>
    </row>
    <row r="114" spans="1:3" x14ac:dyDescent="0.2">
      <c r="A114" s="2">
        <v>45106</v>
      </c>
      <c r="B114">
        <v>4241.28</v>
      </c>
      <c r="C114">
        <v>4145.6000000000004</v>
      </c>
    </row>
    <row r="115" spans="1:3" x14ac:dyDescent="0.2">
      <c r="A115" s="2">
        <v>45107</v>
      </c>
      <c r="B115">
        <v>5911.51</v>
      </c>
      <c r="C115">
        <v>5809.57</v>
      </c>
    </row>
    <row r="116" spans="1:3" x14ac:dyDescent="0.2">
      <c r="A116" s="2">
        <v>45108</v>
      </c>
      <c r="B116">
        <v>10708.66</v>
      </c>
      <c r="C116">
        <v>10557.74</v>
      </c>
    </row>
    <row r="117" spans="1:3" x14ac:dyDescent="0.2">
      <c r="A117" s="2">
        <v>45109</v>
      </c>
      <c r="B117">
        <v>4462.4399999999996</v>
      </c>
      <c r="C117">
        <v>4307.99</v>
      </c>
    </row>
    <row r="118" spans="1:3" x14ac:dyDescent="0.2">
      <c r="A118" s="2">
        <v>45110</v>
      </c>
      <c r="B118">
        <v>3292.47</v>
      </c>
      <c r="C118">
        <v>3241.65</v>
      </c>
    </row>
    <row r="119" spans="1:3" x14ac:dyDescent="0.2">
      <c r="A119" s="2">
        <v>45111</v>
      </c>
      <c r="B119">
        <v>4141.1099999999997</v>
      </c>
      <c r="C119">
        <v>4126.17</v>
      </c>
    </row>
    <row r="120" spans="1:3" x14ac:dyDescent="0.2">
      <c r="A120" s="2">
        <v>45112</v>
      </c>
      <c r="B120">
        <v>3694.08</v>
      </c>
      <c r="C120">
        <v>3617.5</v>
      </c>
    </row>
    <row r="121" spans="1:3" x14ac:dyDescent="0.2">
      <c r="A121" s="2">
        <v>45113</v>
      </c>
      <c r="B121">
        <v>4343.16</v>
      </c>
      <c r="C121">
        <v>4287.72</v>
      </c>
    </row>
    <row r="122" spans="1:3" x14ac:dyDescent="0.2">
      <c r="A122" s="2">
        <v>45114</v>
      </c>
      <c r="B122">
        <v>6139.65</v>
      </c>
      <c r="C122">
        <v>5968.73</v>
      </c>
    </row>
    <row r="123" spans="1:3" x14ac:dyDescent="0.2">
      <c r="A123" s="2">
        <v>45115</v>
      </c>
      <c r="B123">
        <v>9127.19</v>
      </c>
      <c r="C123">
        <v>8957.65</v>
      </c>
    </row>
    <row r="124" spans="1:3" x14ac:dyDescent="0.2">
      <c r="A124" s="2">
        <v>45116</v>
      </c>
      <c r="B124">
        <v>4465.9799999999996</v>
      </c>
      <c r="C124">
        <v>4444.2299999999996</v>
      </c>
    </row>
    <row r="125" spans="1:3" x14ac:dyDescent="0.2">
      <c r="A125" s="2">
        <v>45117</v>
      </c>
      <c r="B125">
        <v>4412.6499999999996</v>
      </c>
      <c r="C125">
        <v>4345.1899999999996</v>
      </c>
    </row>
    <row r="126" spans="1:3" x14ac:dyDescent="0.2">
      <c r="A126" s="2">
        <v>45118</v>
      </c>
      <c r="B126">
        <v>3702.04</v>
      </c>
      <c r="C126">
        <v>3525.04</v>
      </c>
    </row>
    <row r="127" spans="1:3" x14ac:dyDescent="0.2">
      <c r="A127" s="2">
        <v>45119</v>
      </c>
      <c r="B127">
        <v>4882.13</v>
      </c>
      <c r="C127">
        <v>4831.63</v>
      </c>
    </row>
    <row r="128" spans="1:3" x14ac:dyDescent="0.2">
      <c r="A128" s="2">
        <v>45120</v>
      </c>
      <c r="B128">
        <v>3534.38</v>
      </c>
      <c r="C128">
        <v>3523.17</v>
      </c>
    </row>
    <row r="129" spans="1:3" x14ac:dyDescent="0.2">
      <c r="A129" s="2">
        <v>45121</v>
      </c>
      <c r="B129">
        <v>6214.57</v>
      </c>
      <c r="C129">
        <v>6079.9</v>
      </c>
    </row>
    <row r="130" spans="1:3" x14ac:dyDescent="0.2">
      <c r="A130" s="2">
        <v>45122</v>
      </c>
      <c r="B130">
        <v>8726.82</v>
      </c>
      <c r="C130">
        <v>8549.9500000000007</v>
      </c>
    </row>
    <row r="131" spans="1:3" x14ac:dyDescent="0.2">
      <c r="A131" s="2">
        <v>45123</v>
      </c>
      <c r="B131">
        <v>4296.5600000000004</v>
      </c>
      <c r="C131">
        <v>4235.1499999999996</v>
      </c>
    </row>
    <row r="132" spans="1:3" x14ac:dyDescent="0.2">
      <c r="A132" s="2">
        <v>45124</v>
      </c>
      <c r="B132">
        <v>4789.93</v>
      </c>
      <c r="C132">
        <v>4744.22</v>
      </c>
    </row>
    <row r="133" spans="1:3" x14ac:dyDescent="0.2">
      <c r="A133" s="2">
        <v>45125</v>
      </c>
      <c r="B133">
        <v>5120.51</v>
      </c>
      <c r="C133">
        <v>5023.34</v>
      </c>
    </row>
    <row r="134" spans="1:3" x14ac:dyDescent="0.2">
      <c r="A134" s="2">
        <v>45126</v>
      </c>
      <c r="B134">
        <v>6016.12</v>
      </c>
      <c r="C134">
        <v>5919.66</v>
      </c>
    </row>
    <row r="135" spans="1:3" x14ac:dyDescent="0.2">
      <c r="A135" s="2">
        <v>45127</v>
      </c>
      <c r="B135">
        <v>5617.71</v>
      </c>
      <c r="C135">
        <v>5512.99</v>
      </c>
    </row>
    <row r="136" spans="1:3" x14ac:dyDescent="0.2">
      <c r="A136" s="2">
        <v>45128</v>
      </c>
      <c r="B136">
        <v>7611.12</v>
      </c>
      <c r="C136">
        <v>7403.8</v>
      </c>
    </row>
    <row r="137" spans="1:3" x14ac:dyDescent="0.2">
      <c r="A137" s="2">
        <v>45129</v>
      </c>
      <c r="B137">
        <v>9176.7000000000007</v>
      </c>
      <c r="C137">
        <v>9057.8700000000008</v>
      </c>
    </row>
    <row r="138" spans="1:3" x14ac:dyDescent="0.2">
      <c r="A138" s="2">
        <v>45130</v>
      </c>
      <c r="B138">
        <v>5581.85</v>
      </c>
      <c r="C138">
        <v>5500.98</v>
      </c>
    </row>
    <row r="139" spans="1:3" x14ac:dyDescent="0.2">
      <c r="A139" s="2">
        <v>45131</v>
      </c>
      <c r="B139">
        <v>4595.79</v>
      </c>
      <c r="C139">
        <v>4490.37</v>
      </c>
    </row>
    <row r="140" spans="1:3" x14ac:dyDescent="0.2">
      <c r="A140" s="2">
        <v>45132</v>
      </c>
      <c r="B140">
        <v>5246.52</v>
      </c>
      <c r="C140">
        <v>5130.45</v>
      </c>
    </row>
    <row r="141" spans="1:3" x14ac:dyDescent="0.2">
      <c r="A141" s="2">
        <v>45133</v>
      </c>
      <c r="B141">
        <v>4787.6400000000003</v>
      </c>
      <c r="C141">
        <v>4719.08</v>
      </c>
    </row>
    <row r="142" spans="1:3" x14ac:dyDescent="0.2">
      <c r="A142" s="2">
        <v>45134</v>
      </c>
      <c r="B142">
        <v>3182.75</v>
      </c>
      <c r="C142">
        <v>3129.96</v>
      </c>
    </row>
    <row r="143" spans="1:3" x14ac:dyDescent="0.2">
      <c r="A143" s="2">
        <v>45135</v>
      </c>
      <c r="B143">
        <v>5988.5</v>
      </c>
      <c r="C143">
        <v>5757.44</v>
      </c>
    </row>
    <row r="144" spans="1:3" x14ac:dyDescent="0.2">
      <c r="A144" s="2">
        <v>45136</v>
      </c>
      <c r="B144">
        <v>8156.31</v>
      </c>
      <c r="C144">
        <v>8086.85</v>
      </c>
    </row>
    <row r="145" spans="1:3" x14ac:dyDescent="0.2">
      <c r="A145" s="2">
        <v>45137</v>
      </c>
      <c r="B145">
        <v>4607.28</v>
      </c>
      <c r="C145">
        <v>4472.18</v>
      </c>
    </row>
    <row r="146" spans="1:3" x14ac:dyDescent="0.2">
      <c r="A146" s="2">
        <v>45138</v>
      </c>
      <c r="B146">
        <v>3832.89</v>
      </c>
      <c r="C146">
        <v>3767.35</v>
      </c>
    </row>
    <row r="147" spans="1:3" x14ac:dyDescent="0.2">
      <c r="A147" s="2">
        <v>45139</v>
      </c>
      <c r="B147">
        <v>5196.91</v>
      </c>
      <c r="C147">
        <v>5162.66</v>
      </c>
    </row>
    <row r="148" spans="1:3" x14ac:dyDescent="0.2">
      <c r="A148" s="2">
        <v>45140</v>
      </c>
      <c r="B148">
        <v>2843.92</v>
      </c>
      <c r="C148">
        <v>2799.27</v>
      </c>
    </row>
    <row r="149" spans="1:3" x14ac:dyDescent="0.2">
      <c r="A149" s="2">
        <v>45141</v>
      </c>
      <c r="B149">
        <v>3871.09</v>
      </c>
      <c r="C149">
        <v>3807.93</v>
      </c>
    </row>
    <row r="150" spans="1:3" x14ac:dyDescent="0.2">
      <c r="A150" s="2">
        <v>45142</v>
      </c>
      <c r="B150">
        <v>6197.91</v>
      </c>
      <c r="C150">
        <v>6092.18</v>
      </c>
    </row>
    <row r="151" spans="1:3" x14ac:dyDescent="0.2">
      <c r="A151" s="2">
        <v>45143</v>
      </c>
      <c r="B151">
        <v>9860.76</v>
      </c>
      <c r="C151">
        <v>9695.51</v>
      </c>
    </row>
    <row r="152" spans="1:3" x14ac:dyDescent="0.2">
      <c r="A152" s="2">
        <v>45144</v>
      </c>
      <c r="B152">
        <v>5781.86</v>
      </c>
      <c r="C152">
        <v>5744.4</v>
      </c>
    </row>
    <row r="153" spans="1:3" x14ac:dyDescent="0.2">
      <c r="A153" s="2">
        <v>45145</v>
      </c>
      <c r="B153">
        <v>4183.74</v>
      </c>
      <c r="C153">
        <v>4112.51</v>
      </c>
    </row>
    <row r="154" spans="1:3" x14ac:dyDescent="0.2">
      <c r="A154" s="2">
        <v>45146</v>
      </c>
      <c r="B154">
        <v>4583.54</v>
      </c>
      <c r="C154">
        <v>4539.63</v>
      </c>
    </row>
    <row r="155" spans="1:3" x14ac:dyDescent="0.2">
      <c r="A155" s="2">
        <v>45147</v>
      </c>
      <c r="B155">
        <v>3956.56</v>
      </c>
      <c r="C155">
        <v>3909.31</v>
      </c>
    </row>
    <row r="156" spans="1:3" x14ac:dyDescent="0.2">
      <c r="A156" s="2">
        <v>45148</v>
      </c>
      <c r="B156">
        <v>4353.38</v>
      </c>
      <c r="C156">
        <v>4221.95</v>
      </c>
    </row>
    <row r="157" spans="1:3" x14ac:dyDescent="0.2">
      <c r="A157" s="2">
        <v>45149</v>
      </c>
      <c r="B157">
        <v>5442.98</v>
      </c>
      <c r="C157">
        <v>5234.3599999999997</v>
      </c>
    </row>
    <row r="158" spans="1:3" x14ac:dyDescent="0.2">
      <c r="A158" s="2">
        <v>45150</v>
      </c>
      <c r="B158">
        <v>9068.16</v>
      </c>
      <c r="C158">
        <v>8839.93</v>
      </c>
    </row>
    <row r="159" spans="1:3" x14ac:dyDescent="0.2">
      <c r="A159" s="2">
        <v>45151</v>
      </c>
      <c r="B159">
        <v>5326.47</v>
      </c>
      <c r="C159">
        <v>5125.74</v>
      </c>
    </row>
    <row r="160" spans="1:3" x14ac:dyDescent="0.2">
      <c r="A160" s="2">
        <v>45152</v>
      </c>
      <c r="B160">
        <v>4140.2299999999996</v>
      </c>
      <c r="C160">
        <v>3882.92</v>
      </c>
    </row>
    <row r="161" spans="1:3" x14ac:dyDescent="0.2">
      <c r="A161" s="2">
        <v>45153</v>
      </c>
      <c r="B161">
        <v>4581.01</v>
      </c>
      <c r="C161">
        <v>4532.92</v>
      </c>
    </row>
    <row r="162" spans="1:3" x14ac:dyDescent="0.2">
      <c r="A162" s="2">
        <v>45154</v>
      </c>
      <c r="B162">
        <v>4384.82</v>
      </c>
      <c r="C162">
        <v>4322.2299999999996</v>
      </c>
    </row>
    <row r="163" spans="1:3" x14ac:dyDescent="0.2">
      <c r="A163" s="2">
        <v>45155</v>
      </c>
      <c r="B163">
        <v>4341.8999999999996</v>
      </c>
      <c r="C163">
        <v>4154.78</v>
      </c>
    </row>
    <row r="164" spans="1:3" x14ac:dyDescent="0.2">
      <c r="A164" s="2">
        <v>45156</v>
      </c>
      <c r="B164">
        <v>5821.5</v>
      </c>
      <c r="C164">
        <v>5634.17</v>
      </c>
    </row>
    <row r="165" spans="1:3" x14ac:dyDescent="0.2">
      <c r="A165" s="2">
        <v>45157</v>
      </c>
      <c r="B165">
        <v>6970.95</v>
      </c>
      <c r="C165">
        <v>6884.59</v>
      </c>
    </row>
    <row r="166" spans="1:3" x14ac:dyDescent="0.2">
      <c r="A166" s="2">
        <v>45158</v>
      </c>
      <c r="B166">
        <v>4080.35</v>
      </c>
      <c r="C166">
        <v>3976.22</v>
      </c>
    </row>
    <row r="167" spans="1:3" x14ac:dyDescent="0.2">
      <c r="A167" s="2">
        <v>45159</v>
      </c>
      <c r="B167">
        <v>3915.2</v>
      </c>
      <c r="C167">
        <v>3883.93</v>
      </c>
    </row>
    <row r="168" spans="1:3" x14ac:dyDescent="0.2">
      <c r="A168" s="2">
        <v>45160</v>
      </c>
      <c r="B168">
        <v>5022.3500000000004</v>
      </c>
      <c r="C168">
        <v>4967.8500000000004</v>
      </c>
    </row>
    <row r="169" spans="1:3" x14ac:dyDescent="0.2">
      <c r="A169" s="2">
        <v>45161</v>
      </c>
      <c r="B169">
        <v>4006.11</v>
      </c>
      <c r="C169">
        <v>3880.49</v>
      </c>
    </row>
    <row r="170" spans="1:3" x14ac:dyDescent="0.2">
      <c r="A170" s="2">
        <v>45162</v>
      </c>
      <c r="B170">
        <v>4518.78</v>
      </c>
      <c r="C170">
        <v>4425.8599999999997</v>
      </c>
    </row>
    <row r="171" spans="1:3" x14ac:dyDescent="0.2">
      <c r="A171" s="2">
        <v>45163</v>
      </c>
      <c r="B171">
        <v>6614.16</v>
      </c>
      <c r="C171">
        <v>6511.54</v>
      </c>
    </row>
    <row r="172" spans="1:3" x14ac:dyDescent="0.2">
      <c r="A172" s="2">
        <v>45164</v>
      </c>
      <c r="B172">
        <v>7631.16</v>
      </c>
      <c r="C172">
        <v>7494.34</v>
      </c>
    </row>
    <row r="173" spans="1:3" x14ac:dyDescent="0.2">
      <c r="A173" s="2">
        <v>45165</v>
      </c>
      <c r="B173">
        <v>7483.5</v>
      </c>
      <c r="C173">
        <v>7230.75</v>
      </c>
    </row>
    <row r="174" spans="1:3" x14ac:dyDescent="0.2">
      <c r="A174" s="2">
        <v>45166</v>
      </c>
      <c r="B174">
        <v>5629.07</v>
      </c>
      <c r="C174">
        <v>5542.57</v>
      </c>
    </row>
    <row r="175" spans="1:3" x14ac:dyDescent="0.2">
      <c r="A175" s="2">
        <v>45167</v>
      </c>
      <c r="B175">
        <v>4070.55</v>
      </c>
      <c r="C175">
        <v>3945.47</v>
      </c>
    </row>
    <row r="176" spans="1:3" x14ac:dyDescent="0.2">
      <c r="A176" s="2">
        <v>45168</v>
      </c>
      <c r="B176">
        <v>3703.34</v>
      </c>
      <c r="C176">
        <v>3516.42</v>
      </c>
    </row>
    <row r="177" spans="1:3" x14ac:dyDescent="0.2">
      <c r="A177" s="2">
        <v>45169</v>
      </c>
      <c r="B177">
        <v>3754.52</v>
      </c>
      <c r="C177">
        <v>3661.58</v>
      </c>
    </row>
    <row r="178" spans="1:3" x14ac:dyDescent="0.2">
      <c r="A178" s="2">
        <v>45170</v>
      </c>
      <c r="B178">
        <v>5063</v>
      </c>
      <c r="C178">
        <v>4827.96</v>
      </c>
    </row>
    <row r="179" spans="1:3" x14ac:dyDescent="0.2">
      <c r="A179" s="2">
        <v>45171</v>
      </c>
      <c r="B179">
        <v>8341.18</v>
      </c>
      <c r="C179">
        <v>8268.64</v>
      </c>
    </row>
    <row r="180" spans="1:3" x14ac:dyDescent="0.2">
      <c r="A180" s="2">
        <v>45172</v>
      </c>
      <c r="B180">
        <v>3516.86</v>
      </c>
      <c r="C180">
        <v>3434.72</v>
      </c>
    </row>
    <row r="181" spans="1:3" x14ac:dyDescent="0.2">
      <c r="A181" s="2">
        <v>45173</v>
      </c>
      <c r="B181">
        <v>3006.15</v>
      </c>
      <c r="C181">
        <v>2940.35</v>
      </c>
    </row>
    <row r="182" spans="1:3" x14ac:dyDescent="0.2">
      <c r="A182" s="2">
        <v>45174</v>
      </c>
      <c r="B182">
        <v>3034.09</v>
      </c>
      <c r="C182">
        <v>2985.14</v>
      </c>
    </row>
    <row r="183" spans="1:3" x14ac:dyDescent="0.2">
      <c r="A183" s="2">
        <v>45175</v>
      </c>
      <c r="B183">
        <v>3545.46</v>
      </c>
      <c r="C183">
        <v>3445.61</v>
      </c>
    </row>
    <row r="184" spans="1:3" x14ac:dyDescent="0.2">
      <c r="A184" s="2">
        <v>45176</v>
      </c>
      <c r="B184">
        <v>3815.6</v>
      </c>
      <c r="C184">
        <v>3763.35</v>
      </c>
    </row>
    <row r="185" spans="1:3" x14ac:dyDescent="0.2">
      <c r="A185" s="2">
        <v>45177</v>
      </c>
      <c r="B185">
        <v>5766.65</v>
      </c>
      <c r="C185">
        <v>5721.21</v>
      </c>
    </row>
    <row r="186" spans="1:3" x14ac:dyDescent="0.2">
      <c r="A186" s="2">
        <v>45178</v>
      </c>
      <c r="B186">
        <v>8443.7900000000009</v>
      </c>
      <c r="C186">
        <v>8230.92</v>
      </c>
    </row>
    <row r="187" spans="1:3" x14ac:dyDescent="0.2">
      <c r="A187" s="2">
        <v>45179</v>
      </c>
      <c r="B187">
        <v>3123.68</v>
      </c>
      <c r="C187">
        <v>3027.89</v>
      </c>
    </row>
    <row r="188" spans="1:3" x14ac:dyDescent="0.2">
      <c r="A188" s="2">
        <v>45180</v>
      </c>
      <c r="B188">
        <v>3531.96</v>
      </c>
      <c r="C188">
        <v>3425.94</v>
      </c>
    </row>
    <row r="189" spans="1:3" x14ac:dyDescent="0.2">
      <c r="A189" s="2">
        <v>45181</v>
      </c>
      <c r="B189">
        <v>3663.8</v>
      </c>
      <c r="C189">
        <v>3524.56</v>
      </c>
    </row>
    <row r="190" spans="1:3" x14ac:dyDescent="0.2">
      <c r="A190" s="2">
        <v>45182</v>
      </c>
      <c r="B190">
        <v>4792.13</v>
      </c>
      <c r="C190">
        <v>4712.9799999999996</v>
      </c>
    </row>
    <row r="191" spans="1:3" x14ac:dyDescent="0.2">
      <c r="A191" s="2">
        <v>45183</v>
      </c>
      <c r="B191">
        <v>4025.76</v>
      </c>
      <c r="C191">
        <v>3977.49</v>
      </c>
    </row>
    <row r="192" spans="1:3" x14ac:dyDescent="0.2">
      <c r="A192" s="2">
        <v>45184</v>
      </c>
      <c r="B192">
        <v>6302.08</v>
      </c>
      <c r="C192">
        <v>6194.56</v>
      </c>
    </row>
    <row r="193" spans="1:3" x14ac:dyDescent="0.2">
      <c r="A193" s="2">
        <v>45185</v>
      </c>
      <c r="B193">
        <v>9536.9699999999993</v>
      </c>
      <c r="C193">
        <v>9407.1</v>
      </c>
    </row>
    <row r="194" spans="1:3" x14ac:dyDescent="0.2">
      <c r="A194" s="2">
        <v>45186</v>
      </c>
      <c r="B194">
        <v>4219.1000000000004</v>
      </c>
      <c r="C194">
        <v>4182.8100000000004</v>
      </c>
    </row>
    <row r="195" spans="1:3" x14ac:dyDescent="0.2">
      <c r="A195" s="2">
        <v>45187</v>
      </c>
      <c r="B195">
        <v>3630.33</v>
      </c>
      <c r="C195">
        <v>3587.33</v>
      </c>
    </row>
    <row r="196" spans="1:3" x14ac:dyDescent="0.2">
      <c r="A196" s="2">
        <v>45188</v>
      </c>
      <c r="B196">
        <v>2953</v>
      </c>
      <c r="C196">
        <v>2916.98</v>
      </c>
    </row>
    <row r="197" spans="1:3" x14ac:dyDescent="0.2">
      <c r="A197" s="2">
        <v>45189</v>
      </c>
      <c r="B197">
        <v>3109.15</v>
      </c>
      <c r="C197">
        <v>3000.73</v>
      </c>
    </row>
    <row r="198" spans="1:3" x14ac:dyDescent="0.2">
      <c r="A198" s="2">
        <v>45190</v>
      </c>
      <c r="B198">
        <v>2830.88</v>
      </c>
      <c r="C198">
        <v>2770.07</v>
      </c>
    </row>
    <row r="199" spans="1:3" x14ac:dyDescent="0.2">
      <c r="A199" s="2">
        <v>45191</v>
      </c>
      <c r="B199">
        <v>5327.41</v>
      </c>
      <c r="C199">
        <v>5282.54</v>
      </c>
    </row>
    <row r="200" spans="1:3" x14ac:dyDescent="0.2">
      <c r="A200" s="2">
        <v>45192</v>
      </c>
      <c r="B200">
        <v>8811.6200000000008</v>
      </c>
      <c r="C200">
        <v>8662.17</v>
      </c>
    </row>
    <row r="201" spans="1:3" x14ac:dyDescent="0.2">
      <c r="A201" s="2">
        <v>45193</v>
      </c>
      <c r="B201">
        <v>2778.15</v>
      </c>
      <c r="C201">
        <v>2667.02</v>
      </c>
    </row>
    <row r="202" spans="1:3" x14ac:dyDescent="0.2">
      <c r="A202" s="2">
        <v>45194</v>
      </c>
      <c r="B202">
        <v>2739.49</v>
      </c>
      <c r="C202">
        <v>2665.24</v>
      </c>
    </row>
    <row r="203" spans="1:3" x14ac:dyDescent="0.2">
      <c r="A203" s="2">
        <v>45195</v>
      </c>
      <c r="B203">
        <v>4807.32</v>
      </c>
      <c r="C203">
        <v>4758.95</v>
      </c>
    </row>
    <row r="204" spans="1:3" x14ac:dyDescent="0.2">
      <c r="A204" s="2">
        <v>45196</v>
      </c>
      <c r="B204">
        <v>3643.23</v>
      </c>
      <c r="C204">
        <v>3572.41</v>
      </c>
    </row>
    <row r="205" spans="1:3" x14ac:dyDescent="0.2">
      <c r="A205" s="2">
        <v>45197</v>
      </c>
      <c r="B205">
        <v>4718.1000000000004</v>
      </c>
      <c r="C205">
        <v>4678.1400000000003</v>
      </c>
    </row>
    <row r="206" spans="1:3" x14ac:dyDescent="0.2">
      <c r="A206" s="2">
        <v>45198</v>
      </c>
      <c r="B206">
        <v>6273.05</v>
      </c>
      <c r="C206">
        <v>6215.35</v>
      </c>
    </row>
    <row r="207" spans="1:3" x14ac:dyDescent="0.2">
      <c r="A207" s="2">
        <v>45199</v>
      </c>
      <c r="B207">
        <v>8735.67</v>
      </c>
      <c r="C207">
        <v>8516.11</v>
      </c>
    </row>
    <row r="208" spans="1:3" x14ac:dyDescent="0.2">
      <c r="A208" s="2">
        <v>45200</v>
      </c>
      <c r="B208">
        <v>4578.3999999999996</v>
      </c>
      <c r="C208">
        <v>4544.7299999999996</v>
      </c>
    </row>
    <row r="209" spans="1:3" x14ac:dyDescent="0.2">
      <c r="A209" s="2">
        <v>45201</v>
      </c>
      <c r="B209">
        <v>2413.4299999999998</v>
      </c>
      <c r="C209">
        <v>2357.3200000000002</v>
      </c>
    </row>
    <row r="210" spans="1:3" x14ac:dyDescent="0.2">
      <c r="A210" s="2">
        <v>45202</v>
      </c>
      <c r="B210">
        <v>3020.27</v>
      </c>
      <c r="C210">
        <v>2977.37</v>
      </c>
    </row>
    <row r="211" spans="1:3" x14ac:dyDescent="0.2">
      <c r="A211" s="2">
        <v>45203</v>
      </c>
      <c r="B211">
        <v>3177.58</v>
      </c>
      <c r="C211">
        <v>3111.66</v>
      </c>
    </row>
    <row r="212" spans="1:3" x14ac:dyDescent="0.2">
      <c r="A212" s="2">
        <v>45204</v>
      </c>
      <c r="B212">
        <v>3120.1</v>
      </c>
      <c r="C212">
        <v>3082.77</v>
      </c>
    </row>
    <row r="213" spans="1:3" x14ac:dyDescent="0.2">
      <c r="A213" s="2">
        <v>45205</v>
      </c>
      <c r="B213">
        <v>6174.82</v>
      </c>
      <c r="C213">
        <v>6057.03</v>
      </c>
    </row>
    <row r="214" spans="1:3" x14ac:dyDescent="0.2">
      <c r="A214" s="2">
        <v>45206</v>
      </c>
      <c r="B214">
        <v>9740.2099999999991</v>
      </c>
      <c r="C214">
        <v>9600.09</v>
      </c>
    </row>
    <row r="215" spans="1:3" x14ac:dyDescent="0.2">
      <c r="A215" s="2">
        <v>45207</v>
      </c>
      <c r="B215">
        <v>4394.34</v>
      </c>
      <c r="C215">
        <v>4284.82</v>
      </c>
    </row>
    <row r="216" spans="1:3" x14ac:dyDescent="0.2">
      <c r="A216" s="2">
        <v>45208</v>
      </c>
      <c r="B216">
        <v>3663.4</v>
      </c>
      <c r="C216">
        <v>3606.98</v>
      </c>
    </row>
    <row r="217" spans="1:3" x14ac:dyDescent="0.2">
      <c r="A217" s="2">
        <v>45209</v>
      </c>
      <c r="B217">
        <v>4618.07</v>
      </c>
      <c r="C217">
        <v>4575.95</v>
      </c>
    </row>
    <row r="218" spans="1:3" x14ac:dyDescent="0.2">
      <c r="A218" s="2">
        <v>45210</v>
      </c>
      <c r="B218">
        <v>5067.1000000000004</v>
      </c>
      <c r="C218">
        <v>4962.4799999999996</v>
      </c>
    </row>
    <row r="219" spans="1:3" x14ac:dyDescent="0.2">
      <c r="A219" s="2">
        <v>45211</v>
      </c>
      <c r="B219">
        <v>5973.12</v>
      </c>
      <c r="C219">
        <v>5909.55</v>
      </c>
    </row>
    <row r="220" spans="1:3" x14ac:dyDescent="0.2">
      <c r="A220" s="2">
        <v>45212</v>
      </c>
      <c r="B220">
        <v>6278.58</v>
      </c>
      <c r="C220">
        <v>6175.91</v>
      </c>
    </row>
    <row r="221" spans="1:3" x14ac:dyDescent="0.2">
      <c r="A221" s="2">
        <v>45213</v>
      </c>
      <c r="B221">
        <v>9090.25</v>
      </c>
      <c r="C221">
        <v>8987.33</v>
      </c>
    </row>
    <row r="222" spans="1:3" x14ac:dyDescent="0.2">
      <c r="A222" s="2">
        <v>45214</v>
      </c>
      <c r="B222">
        <v>6442.27</v>
      </c>
      <c r="C222">
        <v>6389.31</v>
      </c>
    </row>
    <row r="223" spans="1:3" x14ac:dyDescent="0.2">
      <c r="A223" s="2">
        <v>45215</v>
      </c>
      <c r="B223">
        <v>3664.99</v>
      </c>
      <c r="C223">
        <v>3619.74</v>
      </c>
    </row>
    <row r="224" spans="1:3" x14ac:dyDescent="0.2">
      <c r="A224" s="2">
        <v>45216</v>
      </c>
      <c r="B224">
        <v>3496.4</v>
      </c>
      <c r="C224">
        <v>3394.77</v>
      </c>
    </row>
    <row r="225" spans="1:3" x14ac:dyDescent="0.2">
      <c r="A225" s="2">
        <v>45217</v>
      </c>
      <c r="B225">
        <v>3328.25</v>
      </c>
      <c r="C225">
        <v>3292.75</v>
      </c>
    </row>
    <row r="226" spans="1:3" x14ac:dyDescent="0.2">
      <c r="A226" s="2">
        <v>45218</v>
      </c>
      <c r="B226">
        <v>4010.61</v>
      </c>
      <c r="C226">
        <v>3940.09</v>
      </c>
    </row>
    <row r="227" spans="1:3" x14ac:dyDescent="0.2">
      <c r="A227" s="2">
        <v>45219</v>
      </c>
      <c r="B227">
        <v>5044.54</v>
      </c>
      <c r="C227">
        <v>4912.72</v>
      </c>
    </row>
    <row r="228" spans="1:3" x14ac:dyDescent="0.2">
      <c r="A228" s="2">
        <v>45220</v>
      </c>
      <c r="B228">
        <v>8827.9500000000007</v>
      </c>
      <c r="C228">
        <v>8758.41</v>
      </c>
    </row>
    <row r="229" spans="1:3" x14ac:dyDescent="0.2">
      <c r="A229" s="2">
        <v>45221</v>
      </c>
      <c r="B229">
        <v>5556.25</v>
      </c>
      <c r="C229">
        <v>5487.83</v>
      </c>
    </row>
    <row r="230" spans="1:3" x14ac:dyDescent="0.2">
      <c r="A230" s="2">
        <v>45222</v>
      </c>
      <c r="B230">
        <v>4367.1899999999996</v>
      </c>
      <c r="C230">
        <v>4325.2299999999996</v>
      </c>
    </row>
    <row r="231" spans="1:3" x14ac:dyDescent="0.2">
      <c r="A231" s="2">
        <v>45223</v>
      </c>
      <c r="B231">
        <v>3908.62</v>
      </c>
      <c r="C231">
        <v>3797.99</v>
      </c>
    </row>
    <row r="232" spans="1:3" x14ac:dyDescent="0.2">
      <c r="A232" s="2">
        <v>45224</v>
      </c>
      <c r="B232">
        <v>4414.25</v>
      </c>
      <c r="C232">
        <v>4352.08</v>
      </c>
    </row>
    <row r="233" spans="1:3" x14ac:dyDescent="0.2">
      <c r="A233" s="2">
        <v>45225</v>
      </c>
      <c r="B233">
        <v>4836.1000000000004</v>
      </c>
      <c r="C233">
        <v>4779.8900000000003</v>
      </c>
    </row>
    <row r="234" spans="1:3" x14ac:dyDescent="0.2">
      <c r="A234" s="2">
        <v>45226</v>
      </c>
      <c r="B234">
        <v>6326.14</v>
      </c>
      <c r="C234">
        <v>6235.06</v>
      </c>
    </row>
    <row r="235" spans="1:3" x14ac:dyDescent="0.2">
      <c r="A235" s="2">
        <v>45227</v>
      </c>
      <c r="B235">
        <v>10067.51</v>
      </c>
      <c r="C235">
        <v>9942.14</v>
      </c>
    </row>
    <row r="236" spans="1:3" x14ac:dyDescent="0.2">
      <c r="A236" s="2">
        <v>45228</v>
      </c>
      <c r="B236">
        <v>5026.16</v>
      </c>
      <c r="C236">
        <v>4854.33</v>
      </c>
    </row>
    <row r="237" spans="1:3" x14ac:dyDescent="0.2">
      <c r="A237" s="2">
        <v>45229</v>
      </c>
      <c r="B237">
        <v>4324.9799999999996</v>
      </c>
      <c r="C237">
        <v>4296.3100000000004</v>
      </c>
    </row>
    <row r="238" spans="1:3" x14ac:dyDescent="0.2">
      <c r="A238" s="2">
        <v>45230</v>
      </c>
      <c r="B238">
        <v>4173.2</v>
      </c>
      <c r="C238">
        <v>4080.16</v>
      </c>
    </row>
    <row r="239" spans="1:3" x14ac:dyDescent="0.2">
      <c r="A239" s="2">
        <v>45231</v>
      </c>
      <c r="B239">
        <v>3946.89</v>
      </c>
      <c r="C239">
        <v>3755.1</v>
      </c>
    </row>
    <row r="240" spans="1:3" x14ac:dyDescent="0.2">
      <c r="A240" s="2">
        <v>45232</v>
      </c>
      <c r="B240">
        <v>4730.6000000000004</v>
      </c>
      <c r="C240">
        <v>4586.79</v>
      </c>
    </row>
    <row r="241" spans="1:3" x14ac:dyDescent="0.2">
      <c r="A241" s="2">
        <v>45233</v>
      </c>
      <c r="B241">
        <v>7021.98</v>
      </c>
      <c r="C241">
        <v>6961.69</v>
      </c>
    </row>
    <row r="242" spans="1:3" x14ac:dyDescent="0.2">
      <c r="A242" s="2">
        <v>45234</v>
      </c>
      <c r="B242">
        <v>9345.51</v>
      </c>
      <c r="C242">
        <v>9129.1200000000008</v>
      </c>
    </row>
    <row r="243" spans="1:3" x14ac:dyDescent="0.2">
      <c r="A243" s="2">
        <v>45235</v>
      </c>
      <c r="B243">
        <v>4508.3500000000004</v>
      </c>
      <c r="C243">
        <v>4419.7299999999996</v>
      </c>
    </row>
    <row r="244" spans="1:3" x14ac:dyDescent="0.2">
      <c r="A244" s="2">
        <v>45236</v>
      </c>
      <c r="B244">
        <v>2795.22</v>
      </c>
      <c r="C244">
        <v>2281.35</v>
      </c>
    </row>
    <row r="245" spans="1:3" x14ac:dyDescent="0.2">
      <c r="A245" s="2">
        <v>45237</v>
      </c>
      <c r="B245">
        <v>3910.98</v>
      </c>
      <c r="C245">
        <v>3824.32</v>
      </c>
    </row>
    <row r="246" spans="1:3" x14ac:dyDescent="0.2">
      <c r="A246" s="2">
        <v>45238</v>
      </c>
      <c r="B246">
        <v>2895.52</v>
      </c>
      <c r="C246">
        <v>2816.3</v>
      </c>
    </row>
    <row r="247" spans="1:3" x14ac:dyDescent="0.2">
      <c r="A247" s="2">
        <v>45239</v>
      </c>
      <c r="B247">
        <v>3409.64</v>
      </c>
      <c r="C247">
        <v>3317.14</v>
      </c>
    </row>
    <row r="248" spans="1:3" x14ac:dyDescent="0.2">
      <c r="A248" s="2">
        <v>45240</v>
      </c>
      <c r="B248">
        <v>7251.46</v>
      </c>
      <c r="C248">
        <v>7149.96</v>
      </c>
    </row>
    <row r="249" spans="1:3" x14ac:dyDescent="0.2">
      <c r="A249" s="2">
        <v>45241</v>
      </c>
      <c r="B249">
        <v>10461.709999999999</v>
      </c>
      <c r="C249">
        <v>10161.98</v>
      </c>
    </row>
    <row r="250" spans="1:3" x14ac:dyDescent="0.2">
      <c r="A250" s="2">
        <v>45242</v>
      </c>
      <c r="B250">
        <v>3988.15</v>
      </c>
      <c r="C250">
        <v>3926.94</v>
      </c>
    </row>
    <row r="251" spans="1:3" x14ac:dyDescent="0.2">
      <c r="A251" s="2">
        <v>45243</v>
      </c>
      <c r="B251">
        <v>3862.79</v>
      </c>
      <c r="C251">
        <v>3843.87</v>
      </c>
    </row>
    <row r="252" spans="1:3" x14ac:dyDescent="0.2">
      <c r="A252" s="2">
        <v>45244</v>
      </c>
      <c r="B252">
        <v>4850.1099999999997</v>
      </c>
      <c r="C252">
        <v>4744.3</v>
      </c>
    </row>
    <row r="253" spans="1:3" x14ac:dyDescent="0.2">
      <c r="A253" s="2">
        <v>45245</v>
      </c>
      <c r="B253">
        <v>4146.72</v>
      </c>
      <c r="C253">
        <v>4022.78</v>
      </c>
    </row>
    <row r="254" spans="1:3" x14ac:dyDescent="0.2">
      <c r="A254" s="2">
        <v>45246</v>
      </c>
      <c r="B254">
        <v>4310.3100000000004</v>
      </c>
      <c r="C254">
        <v>4242.7299999999996</v>
      </c>
    </row>
    <row r="255" spans="1:3" x14ac:dyDescent="0.2">
      <c r="A255" s="2">
        <v>45247</v>
      </c>
      <c r="B255">
        <v>7265.63</v>
      </c>
      <c r="C255">
        <v>7078.99</v>
      </c>
    </row>
    <row r="256" spans="1:3" x14ac:dyDescent="0.2">
      <c r="A256" s="2">
        <v>45248</v>
      </c>
      <c r="B256">
        <v>12137.6</v>
      </c>
      <c r="C256">
        <v>12023.82</v>
      </c>
    </row>
    <row r="257" spans="1:3" x14ac:dyDescent="0.2">
      <c r="A257" s="2">
        <v>45249</v>
      </c>
      <c r="B257">
        <v>4294.6499999999996</v>
      </c>
      <c r="C257">
        <v>4261.29</v>
      </c>
    </row>
    <row r="258" spans="1:3" x14ac:dyDescent="0.2">
      <c r="A258" s="2">
        <v>45250</v>
      </c>
      <c r="B258">
        <v>3601.65</v>
      </c>
      <c r="C258">
        <v>3557.23</v>
      </c>
    </row>
    <row r="259" spans="1:3" x14ac:dyDescent="0.2">
      <c r="A259" s="2">
        <v>45251</v>
      </c>
      <c r="B259">
        <v>3613.93</v>
      </c>
      <c r="C259">
        <v>3591.97</v>
      </c>
    </row>
    <row r="260" spans="1:3" x14ac:dyDescent="0.2">
      <c r="A260" s="2">
        <v>45252</v>
      </c>
      <c r="B260">
        <v>3345.05</v>
      </c>
      <c r="C260">
        <v>3297.2</v>
      </c>
    </row>
    <row r="261" spans="1:3" x14ac:dyDescent="0.2">
      <c r="A261" s="2">
        <v>45253</v>
      </c>
      <c r="B261">
        <v>4700.21</v>
      </c>
      <c r="C261">
        <v>4358.1000000000004</v>
      </c>
    </row>
    <row r="262" spans="1:3" x14ac:dyDescent="0.2">
      <c r="A262" s="2">
        <v>45254</v>
      </c>
      <c r="B262">
        <v>7890.05</v>
      </c>
      <c r="C262">
        <v>7470.05</v>
      </c>
    </row>
    <row r="263" spans="1:3" x14ac:dyDescent="0.2">
      <c r="A263" s="2">
        <v>45255</v>
      </c>
      <c r="B263">
        <v>5664.13</v>
      </c>
      <c r="C263">
        <v>5641.92</v>
      </c>
    </row>
    <row r="264" spans="1:3" x14ac:dyDescent="0.2">
      <c r="A264" s="2">
        <v>45256</v>
      </c>
      <c r="B264">
        <v>7485.17</v>
      </c>
      <c r="C264">
        <v>6718.35</v>
      </c>
    </row>
    <row r="265" spans="1:3" x14ac:dyDescent="0.2">
      <c r="A265" s="2">
        <v>45257</v>
      </c>
      <c r="B265">
        <v>4002.9</v>
      </c>
      <c r="C265">
        <v>3921.86</v>
      </c>
    </row>
    <row r="266" spans="1:3" x14ac:dyDescent="0.2">
      <c r="A266" s="2">
        <v>45258</v>
      </c>
      <c r="B266">
        <v>4471.3</v>
      </c>
      <c r="C266">
        <v>4365.8900000000003</v>
      </c>
    </row>
    <row r="267" spans="1:3" x14ac:dyDescent="0.2">
      <c r="A267" s="2">
        <v>45259</v>
      </c>
      <c r="B267">
        <v>3378.66</v>
      </c>
      <c r="C267">
        <v>3321.43</v>
      </c>
    </row>
    <row r="268" spans="1:3" x14ac:dyDescent="0.2">
      <c r="A268" s="2">
        <v>45260</v>
      </c>
      <c r="B268">
        <v>5802.82</v>
      </c>
      <c r="C268">
        <v>5639.57</v>
      </c>
    </row>
    <row r="269" spans="1:3" x14ac:dyDescent="0.2">
      <c r="A269" s="2">
        <v>45261</v>
      </c>
      <c r="B269">
        <v>8989.64</v>
      </c>
      <c r="C269">
        <v>8625.9</v>
      </c>
    </row>
    <row r="270" spans="1:3" x14ac:dyDescent="0.2">
      <c r="A270" s="2">
        <v>45262</v>
      </c>
      <c r="B270">
        <v>12628.05</v>
      </c>
      <c r="C270">
        <v>12377.63</v>
      </c>
    </row>
    <row r="271" spans="1:3" x14ac:dyDescent="0.2">
      <c r="A271" s="2">
        <v>45263</v>
      </c>
      <c r="B271">
        <v>6254.77</v>
      </c>
      <c r="C271">
        <v>6092.91</v>
      </c>
    </row>
    <row r="272" spans="1:3" x14ac:dyDescent="0.2">
      <c r="A272" s="2">
        <v>45264</v>
      </c>
      <c r="B272">
        <v>4050.42</v>
      </c>
      <c r="C272">
        <v>3984.55</v>
      </c>
    </row>
    <row r="273" spans="1:3" x14ac:dyDescent="0.2">
      <c r="A273" s="2">
        <v>45265</v>
      </c>
      <c r="B273">
        <v>4695.88</v>
      </c>
      <c r="C273">
        <v>4315.9399999999996</v>
      </c>
    </row>
    <row r="274" spans="1:3" x14ac:dyDescent="0.2">
      <c r="A274" s="2">
        <v>45266</v>
      </c>
      <c r="B274">
        <v>5922.8</v>
      </c>
      <c r="C274">
        <v>5851.79</v>
      </c>
    </row>
    <row r="275" spans="1:3" x14ac:dyDescent="0.2">
      <c r="A275" s="2">
        <v>45267</v>
      </c>
      <c r="B275">
        <v>8097.63</v>
      </c>
      <c r="C275">
        <v>7945.27</v>
      </c>
    </row>
    <row r="276" spans="1:3" x14ac:dyDescent="0.2">
      <c r="A276" s="2">
        <v>45268</v>
      </c>
      <c r="B276">
        <v>8857.0400000000009</v>
      </c>
      <c r="C276">
        <v>8677.24</v>
      </c>
    </row>
    <row r="277" spans="1:3" x14ac:dyDescent="0.2">
      <c r="A277" s="2">
        <v>45269</v>
      </c>
      <c r="B277">
        <v>12097.03</v>
      </c>
      <c r="C277">
        <v>11964.88</v>
      </c>
    </row>
    <row r="278" spans="1:3" x14ac:dyDescent="0.2">
      <c r="A278" s="2">
        <v>45270</v>
      </c>
      <c r="B278">
        <v>7091.62</v>
      </c>
      <c r="C278">
        <v>6782.3</v>
      </c>
    </row>
    <row r="279" spans="1:3" x14ac:dyDescent="0.2">
      <c r="A279" s="2">
        <v>45271</v>
      </c>
      <c r="B279">
        <v>5185.42</v>
      </c>
      <c r="C279">
        <v>4993.58</v>
      </c>
    </row>
    <row r="280" spans="1:3" x14ac:dyDescent="0.2">
      <c r="A280" s="2">
        <v>45272</v>
      </c>
      <c r="B280">
        <v>8391</v>
      </c>
      <c r="C280">
        <v>8236.2000000000007</v>
      </c>
    </row>
    <row r="281" spans="1:3" x14ac:dyDescent="0.2">
      <c r="A281" s="2">
        <v>45273</v>
      </c>
      <c r="B281">
        <v>6076.27</v>
      </c>
      <c r="C281">
        <v>5850.91</v>
      </c>
    </row>
    <row r="282" spans="1:3" x14ac:dyDescent="0.2">
      <c r="A282" s="2">
        <v>45274</v>
      </c>
      <c r="B282">
        <v>7716.11</v>
      </c>
      <c r="C282">
        <v>7533.81</v>
      </c>
    </row>
    <row r="283" spans="1:3" x14ac:dyDescent="0.2">
      <c r="A283" s="2">
        <v>45275</v>
      </c>
      <c r="B283">
        <v>9444.69</v>
      </c>
      <c r="C283">
        <v>9223.26</v>
      </c>
    </row>
    <row r="284" spans="1:3" x14ac:dyDescent="0.2">
      <c r="A284" s="2">
        <v>45276</v>
      </c>
      <c r="B284">
        <v>11866.42</v>
      </c>
      <c r="C284">
        <v>11787.16</v>
      </c>
    </row>
    <row r="285" spans="1:3" x14ac:dyDescent="0.2">
      <c r="A285" s="2">
        <v>45277</v>
      </c>
      <c r="B285">
        <v>7937.09</v>
      </c>
      <c r="C285">
        <v>7636.76</v>
      </c>
    </row>
    <row r="286" spans="1:3" x14ac:dyDescent="0.2">
      <c r="A286" s="2">
        <v>45278</v>
      </c>
      <c r="B286">
        <v>6084.17</v>
      </c>
      <c r="C286">
        <v>5927.58</v>
      </c>
    </row>
    <row r="287" spans="1:3" x14ac:dyDescent="0.2">
      <c r="A287" s="2">
        <v>45279</v>
      </c>
      <c r="B287">
        <v>6965.56</v>
      </c>
      <c r="C287">
        <v>6852.03</v>
      </c>
    </row>
    <row r="288" spans="1:3" x14ac:dyDescent="0.2">
      <c r="A288" s="2">
        <v>45280</v>
      </c>
      <c r="B288">
        <v>6294.63</v>
      </c>
      <c r="C288">
        <v>6165.96</v>
      </c>
    </row>
    <row r="289" spans="1:3" x14ac:dyDescent="0.2">
      <c r="A289" s="2">
        <v>45281</v>
      </c>
      <c r="B289">
        <v>7201.11</v>
      </c>
      <c r="C289">
        <v>7068.54</v>
      </c>
    </row>
    <row r="290" spans="1:3" x14ac:dyDescent="0.2">
      <c r="A290" s="2">
        <v>45282</v>
      </c>
      <c r="B290">
        <v>6988.52</v>
      </c>
      <c r="C290">
        <v>6725.73</v>
      </c>
    </row>
    <row r="291" spans="1:3" x14ac:dyDescent="0.2">
      <c r="A291" s="2">
        <v>45283</v>
      </c>
      <c r="B291">
        <v>7917.9</v>
      </c>
      <c r="C291">
        <v>7671.03</v>
      </c>
    </row>
    <row r="292" spans="1:3" x14ac:dyDescent="0.2">
      <c r="A292" s="2">
        <v>45284</v>
      </c>
      <c r="B292">
        <v>6500.11</v>
      </c>
      <c r="C292">
        <v>6362.4</v>
      </c>
    </row>
    <row r="293" spans="1:3" x14ac:dyDescent="0.2">
      <c r="A293" s="2">
        <v>45287</v>
      </c>
      <c r="B293">
        <v>5634.34</v>
      </c>
      <c r="C293">
        <v>5514.63</v>
      </c>
    </row>
    <row r="294" spans="1:3" x14ac:dyDescent="0.2">
      <c r="A294" s="2">
        <v>45288</v>
      </c>
      <c r="B294">
        <v>7891.22</v>
      </c>
      <c r="C294">
        <v>7749.14</v>
      </c>
    </row>
    <row r="295" spans="1:3" x14ac:dyDescent="0.2">
      <c r="A295" s="2">
        <v>45289</v>
      </c>
      <c r="B295">
        <v>7617.49</v>
      </c>
      <c r="C295">
        <v>7395.82</v>
      </c>
    </row>
    <row r="296" spans="1:3" x14ac:dyDescent="0.2">
      <c r="A296" s="2">
        <v>45290</v>
      </c>
      <c r="B296">
        <v>7288.77</v>
      </c>
      <c r="C296">
        <v>7134.99</v>
      </c>
    </row>
    <row r="297" spans="1:3" x14ac:dyDescent="0.2">
      <c r="A297" s="2">
        <v>45291</v>
      </c>
      <c r="B297">
        <v>10270.469999999999</v>
      </c>
      <c r="C297">
        <v>10025.959999999999</v>
      </c>
    </row>
    <row r="298" spans="1:3" x14ac:dyDescent="0.2">
      <c r="A298" s="2">
        <v>45294</v>
      </c>
      <c r="B298">
        <v>5461</v>
      </c>
      <c r="C298">
        <v>5135.21</v>
      </c>
    </row>
    <row r="299" spans="1:3" x14ac:dyDescent="0.2">
      <c r="A299" s="2">
        <v>45295</v>
      </c>
      <c r="B299">
        <v>2616.84</v>
      </c>
      <c r="C299">
        <v>2576.2600000000002</v>
      </c>
    </row>
    <row r="300" spans="1:3" x14ac:dyDescent="0.2">
      <c r="A300" s="2">
        <v>45306</v>
      </c>
      <c r="B300">
        <v>2114.21</v>
      </c>
      <c r="C300">
        <v>2050.2600000000002</v>
      </c>
    </row>
    <row r="301" spans="1:3" x14ac:dyDescent="0.2">
      <c r="A301" s="2">
        <v>45307</v>
      </c>
      <c r="B301">
        <v>2908.03</v>
      </c>
      <c r="C301">
        <v>2777.27</v>
      </c>
    </row>
    <row r="302" spans="1:3" x14ac:dyDescent="0.2">
      <c r="A302" s="2">
        <v>45308</v>
      </c>
      <c r="B302">
        <v>3166.67</v>
      </c>
      <c r="C302">
        <v>2867.41</v>
      </c>
    </row>
    <row r="303" spans="1:3" x14ac:dyDescent="0.2">
      <c r="A303" s="2">
        <v>45309</v>
      </c>
      <c r="B303">
        <v>3309.24</v>
      </c>
      <c r="C303">
        <v>3114.12</v>
      </c>
    </row>
    <row r="304" spans="1:3" x14ac:dyDescent="0.2">
      <c r="A304" s="2">
        <v>45310</v>
      </c>
      <c r="B304">
        <v>4709.95</v>
      </c>
      <c r="C304">
        <v>4447.3999999999996</v>
      </c>
    </row>
    <row r="305" spans="1:3" x14ac:dyDescent="0.2">
      <c r="A305" s="2">
        <v>45311</v>
      </c>
      <c r="B305">
        <v>9186.1299999999992</v>
      </c>
      <c r="C305">
        <v>8742.83</v>
      </c>
    </row>
    <row r="306" spans="1:3" x14ac:dyDescent="0.2">
      <c r="A306" s="2">
        <v>45312</v>
      </c>
      <c r="B306">
        <v>2631.03</v>
      </c>
      <c r="C306">
        <v>2527.6799999999998</v>
      </c>
    </row>
    <row r="307" spans="1:3" x14ac:dyDescent="0.2">
      <c r="A307" s="2">
        <v>45313</v>
      </c>
      <c r="B307">
        <v>3114.67</v>
      </c>
      <c r="C307">
        <v>2943.31</v>
      </c>
    </row>
    <row r="308" spans="1:3" x14ac:dyDescent="0.2">
      <c r="A308" s="2">
        <v>45314</v>
      </c>
      <c r="B308">
        <v>2576.88</v>
      </c>
      <c r="C308">
        <v>2478.88</v>
      </c>
    </row>
    <row r="309" spans="1:3" x14ac:dyDescent="0.2">
      <c r="A309" s="2">
        <v>45315</v>
      </c>
      <c r="B309">
        <v>2305.0700000000002</v>
      </c>
      <c r="C309">
        <v>2121.66</v>
      </c>
    </row>
    <row r="310" spans="1:3" x14ac:dyDescent="0.2">
      <c r="A310" s="2">
        <v>45316</v>
      </c>
      <c r="B310">
        <v>2998.11</v>
      </c>
      <c r="C310">
        <v>2912.82</v>
      </c>
    </row>
    <row r="311" spans="1:3" x14ac:dyDescent="0.2">
      <c r="A311" s="2">
        <v>45317</v>
      </c>
      <c r="B311">
        <v>5244.48</v>
      </c>
      <c r="C311">
        <v>5136.1000000000004</v>
      </c>
    </row>
    <row r="312" spans="1:3" x14ac:dyDescent="0.2">
      <c r="A312" s="2">
        <v>45318</v>
      </c>
      <c r="B312">
        <v>10249.620000000001</v>
      </c>
      <c r="C312">
        <v>9902.36</v>
      </c>
    </row>
    <row r="313" spans="1:3" x14ac:dyDescent="0.2">
      <c r="A313" s="2">
        <v>45319</v>
      </c>
      <c r="B313">
        <v>4416.75</v>
      </c>
      <c r="C313">
        <v>4278.03</v>
      </c>
    </row>
    <row r="314" spans="1:3" x14ac:dyDescent="0.2">
      <c r="A314" s="2">
        <v>45320</v>
      </c>
      <c r="B314">
        <v>2082.9299999999998</v>
      </c>
      <c r="C314">
        <v>1977.64</v>
      </c>
    </row>
    <row r="315" spans="1:3" x14ac:dyDescent="0.2">
      <c r="A315" s="2">
        <v>45321</v>
      </c>
      <c r="B315">
        <v>2855.93</v>
      </c>
      <c r="C315">
        <v>2789.02</v>
      </c>
    </row>
    <row r="316" spans="1:3" x14ac:dyDescent="0.2">
      <c r="A316" s="2">
        <v>45322</v>
      </c>
      <c r="B316">
        <v>2761.53</v>
      </c>
      <c r="C316">
        <v>2672.66</v>
      </c>
    </row>
    <row r="317" spans="1:3" x14ac:dyDescent="0.2">
      <c r="A317" s="2">
        <v>45323</v>
      </c>
      <c r="B317">
        <v>3662.18</v>
      </c>
      <c r="C317">
        <v>3508.64</v>
      </c>
    </row>
    <row r="318" spans="1:3" x14ac:dyDescent="0.2">
      <c r="A318" s="2">
        <v>45324</v>
      </c>
      <c r="B318">
        <v>5787.55</v>
      </c>
      <c r="C318">
        <v>5653.13</v>
      </c>
    </row>
    <row r="319" spans="1:3" x14ac:dyDescent="0.2">
      <c r="A319" s="2">
        <v>45325</v>
      </c>
      <c r="B319">
        <v>11477.6</v>
      </c>
      <c r="C319">
        <v>11053.35</v>
      </c>
    </row>
    <row r="320" spans="1:3" x14ac:dyDescent="0.2">
      <c r="A320" s="2">
        <v>45326</v>
      </c>
      <c r="B320">
        <v>3393.42</v>
      </c>
      <c r="C320">
        <v>3264.2</v>
      </c>
    </row>
    <row r="321" spans="1:3" x14ac:dyDescent="0.2">
      <c r="A321" s="2">
        <v>45327</v>
      </c>
      <c r="B321">
        <v>2271.34</v>
      </c>
      <c r="C321">
        <v>2221.2399999999998</v>
      </c>
    </row>
    <row r="322" spans="1:3" x14ac:dyDescent="0.2">
      <c r="A322" s="2">
        <v>45328</v>
      </c>
      <c r="B322">
        <v>3276.93</v>
      </c>
      <c r="C322">
        <v>3210.48</v>
      </c>
    </row>
    <row r="323" spans="1:3" x14ac:dyDescent="0.2">
      <c r="A323" s="2">
        <v>45329</v>
      </c>
      <c r="B323">
        <v>4049.4</v>
      </c>
      <c r="C323">
        <v>3958.23</v>
      </c>
    </row>
    <row r="324" spans="1:3" x14ac:dyDescent="0.2">
      <c r="A324" s="2">
        <v>45330</v>
      </c>
      <c r="B324">
        <v>2992.63</v>
      </c>
      <c r="C324">
        <v>2960.48</v>
      </c>
    </row>
    <row r="325" spans="1:3" x14ac:dyDescent="0.2">
      <c r="A325" s="2">
        <v>45331</v>
      </c>
      <c r="B325">
        <v>4846.88</v>
      </c>
      <c r="C325">
        <v>4665.51</v>
      </c>
    </row>
    <row r="326" spans="1:3" x14ac:dyDescent="0.2">
      <c r="A326" s="2">
        <v>45332</v>
      </c>
      <c r="B326">
        <v>11843.48</v>
      </c>
      <c r="C326">
        <v>11420.91</v>
      </c>
    </row>
    <row r="327" spans="1:3" x14ac:dyDescent="0.2">
      <c r="A327" s="2">
        <v>45333</v>
      </c>
      <c r="B327">
        <v>6407.11</v>
      </c>
      <c r="C327">
        <v>5998.7</v>
      </c>
    </row>
    <row r="328" spans="1:3" x14ac:dyDescent="0.2">
      <c r="A328" s="2">
        <v>45334</v>
      </c>
      <c r="B328">
        <v>5218.21</v>
      </c>
      <c r="C328">
        <v>5078.6000000000004</v>
      </c>
    </row>
    <row r="329" spans="1:3" x14ac:dyDescent="0.2">
      <c r="A329" s="2">
        <v>45335</v>
      </c>
      <c r="B329">
        <v>4779.53</v>
      </c>
      <c r="C329">
        <v>4617.41</v>
      </c>
    </row>
    <row r="330" spans="1:3" x14ac:dyDescent="0.2">
      <c r="A330" s="2">
        <v>45336</v>
      </c>
      <c r="B330">
        <v>7859.05</v>
      </c>
      <c r="C330">
        <v>7633.38</v>
      </c>
    </row>
    <row r="331" spans="1:3" x14ac:dyDescent="0.2">
      <c r="A331" s="2">
        <v>45337</v>
      </c>
      <c r="B331">
        <v>5885.76</v>
      </c>
      <c r="C331">
        <v>5719.23</v>
      </c>
    </row>
    <row r="332" spans="1:3" x14ac:dyDescent="0.2">
      <c r="A332" s="2">
        <v>45338</v>
      </c>
      <c r="B332">
        <v>7783.62</v>
      </c>
      <c r="C332">
        <v>7578.54</v>
      </c>
    </row>
    <row r="333" spans="1:3" x14ac:dyDescent="0.2">
      <c r="A333" s="2">
        <v>45339</v>
      </c>
      <c r="B333">
        <v>11813.22</v>
      </c>
      <c r="C333">
        <v>11565.01</v>
      </c>
    </row>
    <row r="334" spans="1:3" x14ac:dyDescent="0.2">
      <c r="A334" s="2">
        <v>45340</v>
      </c>
      <c r="B334">
        <v>5088.3500000000004</v>
      </c>
      <c r="C334">
        <v>4977.29</v>
      </c>
    </row>
    <row r="335" spans="1:3" x14ac:dyDescent="0.2">
      <c r="A335" s="2">
        <v>45341</v>
      </c>
      <c r="B335">
        <v>3246.95</v>
      </c>
      <c r="C335">
        <v>3140.78</v>
      </c>
    </row>
    <row r="336" spans="1:3" x14ac:dyDescent="0.2">
      <c r="A336" s="2">
        <v>45342</v>
      </c>
      <c r="B336">
        <v>3390.84</v>
      </c>
      <c r="C336">
        <v>3339.01</v>
      </c>
    </row>
    <row r="337" spans="1:3" x14ac:dyDescent="0.2">
      <c r="A337" s="2">
        <v>45343</v>
      </c>
      <c r="B337">
        <v>4712.1400000000003</v>
      </c>
      <c r="C337">
        <v>4620.72</v>
      </c>
    </row>
    <row r="338" spans="1:3" x14ac:dyDescent="0.2">
      <c r="A338" s="2">
        <v>45344</v>
      </c>
      <c r="B338">
        <v>3366.67</v>
      </c>
      <c r="C338">
        <v>3257.6</v>
      </c>
    </row>
    <row r="339" spans="1:3" x14ac:dyDescent="0.2">
      <c r="A339" s="2">
        <v>45345</v>
      </c>
      <c r="B339">
        <v>7249.77</v>
      </c>
      <c r="C339">
        <v>7004.56</v>
      </c>
    </row>
    <row r="340" spans="1:3" x14ac:dyDescent="0.2">
      <c r="A340" s="2">
        <v>45346</v>
      </c>
      <c r="B340">
        <v>11474.72</v>
      </c>
      <c r="C340">
        <v>11195.09</v>
      </c>
    </row>
    <row r="341" spans="1:3" x14ac:dyDescent="0.2">
      <c r="A341" s="2">
        <v>45347</v>
      </c>
      <c r="B341">
        <v>3772.16</v>
      </c>
      <c r="C341">
        <v>3479.24</v>
      </c>
    </row>
    <row r="342" spans="1:3" x14ac:dyDescent="0.2">
      <c r="A342" s="2">
        <v>45348</v>
      </c>
      <c r="B342">
        <v>3136.5</v>
      </c>
      <c r="C342">
        <v>3089.83</v>
      </c>
    </row>
    <row r="343" spans="1:3" x14ac:dyDescent="0.2">
      <c r="A343" s="2">
        <v>45349</v>
      </c>
      <c r="B343">
        <v>3095.58</v>
      </c>
      <c r="C343">
        <v>2849.51</v>
      </c>
    </row>
    <row r="344" spans="1:3" x14ac:dyDescent="0.2">
      <c r="A344" s="2">
        <v>45350</v>
      </c>
      <c r="B344">
        <v>2541.31</v>
      </c>
      <c r="C344">
        <v>2418.56</v>
      </c>
    </row>
    <row r="345" spans="1:3" x14ac:dyDescent="0.2">
      <c r="A345" s="2">
        <v>45351</v>
      </c>
      <c r="B345">
        <v>2808.8</v>
      </c>
      <c r="C345">
        <v>2803.84</v>
      </c>
    </row>
    <row r="346" spans="1:3" x14ac:dyDescent="0.2">
      <c r="A346" s="2">
        <v>45352</v>
      </c>
      <c r="B346">
        <v>5542.4</v>
      </c>
      <c r="C346">
        <v>5223.12</v>
      </c>
    </row>
    <row r="347" spans="1:3" x14ac:dyDescent="0.2">
      <c r="A347" s="2">
        <v>45353</v>
      </c>
      <c r="B347">
        <v>10881.08</v>
      </c>
      <c r="C347">
        <v>10399.41</v>
      </c>
    </row>
    <row r="348" spans="1:3" x14ac:dyDescent="0.2">
      <c r="A348" s="2">
        <v>45354</v>
      </c>
      <c r="B348">
        <v>4141.05</v>
      </c>
      <c r="C348">
        <v>3964.28</v>
      </c>
    </row>
    <row r="349" spans="1:3" x14ac:dyDescent="0.2">
      <c r="A349" s="2">
        <v>45355</v>
      </c>
      <c r="B349">
        <v>2563.25</v>
      </c>
      <c r="C349">
        <v>2546.87</v>
      </c>
    </row>
    <row r="350" spans="1:3" x14ac:dyDescent="0.2">
      <c r="A350" s="2">
        <v>45356</v>
      </c>
      <c r="B350">
        <v>3152.98</v>
      </c>
      <c r="C350">
        <v>3018.21</v>
      </c>
    </row>
    <row r="351" spans="1:3" x14ac:dyDescent="0.2">
      <c r="A351" s="2">
        <v>45357</v>
      </c>
      <c r="B351">
        <v>2818.68</v>
      </c>
      <c r="C351">
        <v>2713.32</v>
      </c>
    </row>
    <row r="352" spans="1:3" x14ac:dyDescent="0.2">
      <c r="A352" s="2">
        <v>45358</v>
      </c>
      <c r="B352">
        <v>2652.64</v>
      </c>
      <c r="C352">
        <v>2558.3200000000002</v>
      </c>
    </row>
    <row r="353" spans="1:3" x14ac:dyDescent="0.2">
      <c r="A353" s="2">
        <v>45359</v>
      </c>
      <c r="B353">
        <v>5973.05</v>
      </c>
      <c r="C353">
        <v>5765.71</v>
      </c>
    </row>
    <row r="354" spans="1:3" x14ac:dyDescent="0.2">
      <c r="A354" s="2">
        <v>45360</v>
      </c>
      <c r="B354">
        <v>11080.77</v>
      </c>
      <c r="C354">
        <v>10632.06</v>
      </c>
    </row>
    <row r="355" spans="1:3" x14ac:dyDescent="0.2">
      <c r="A355" s="2">
        <v>45361</v>
      </c>
      <c r="B355">
        <v>8154.33</v>
      </c>
      <c r="C355">
        <v>7815.32</v>
      </c>
    </row>
    <row r="356" spans="1:3" x14ac:dyDescent="0.2">
      <c r="A356" s="2">
        <v>45362</v>
      </c>
      <c r="B356">
        <v>2785.69</v>
      </c>
      <c r="C356">
        <v>2725.39</v>
      </c>
    </row>
    <row r="357" spans="1:3" x14ac:dyDescent="0.2">
      <c r="A357" s="2">
        <v>45363</v>
      </c>
      <c r="B357">
        <v>3713.98</v>
      </c>
      <c r="C357">
        <v>3673.48</v>
      </c>
    </row>
    <row r="358" spans="1:3" x14ac:dyDescent="0.2">
      <c r="A358" s="2">
        <v>45364</v>
      </c>
      <c r="B358">
        <v>4113.72</v>
      </c>
      <c r="C358">
        <v>4002.21</v>
      </c>
    </row>
    <row r="359" spans="1:3" x14ac:dyDescent="0.2">
      <c r="A359" s="2">
        <v>45365</v>
      </c>
      <c r="B359">
        <v>4391.59</v>
      </c>
      <c r="C359">
        <v>4357.38</v>
      </c>
    </row>
    <row r="360" spans="1:3" x14ac:dyDescent="0.2">
      <c r="A360" s="2">
        <v>45366</v>
      </c>
      <c r="B360">
        <v>6988.52</v>
      </c>
      <c r="C360">
        <v>6726.52</v>
      </c>
    </row>
    <row r="361" spans="1:3" x14ac:dyDescent="0.2">
      <c r="A361" s="2">
        <v>45367</v>
      </c>
      <c r="B361">
        <v>10508.69</v>
      </c>
      <c r="C361">
        <v>10140.48</v>
      </c>
    </row>
    <row r="362" spans="1:3" x14ac:dyDescent="0.2">
      <c r="A362" s="2">
        <v>45368</v>
      </c>
      <c r="B362">
        <v>4513.01</v>
      </c>
      <c r="C362">
        <v>4362.8500000000004</v>
      </c>
    </row>
    <row r="363" spans="1:3" x14ac:dyDescent="0.2">
      <c r="A363" s="2">
        <v>45369</v>
      </c>
      <c r="B363">
        <v>3079</v>
      </c>
      <c r="C363">
        <v>2962.5</v>
      </c>
    </row>
    <row r="364" spans="1:3" x14ac:dyDescent="0.2">
      <c r="A364" s="2">
        <v>45370</v>
      </c>
      <c r="B364">
        <v>3936.19</v>
      </c>
      <c r="C364">
        <v>3529.67</v>
      </c>
    </row>
    <row r="365" spans="1:3" x14ac:dyDescent="0.2">
      <c r="A365" s="2">
        <v>45371</v>
      </c>
      <c r="B365">
        <v>5055.54</v>
      </c>
      <c r="C365">
        <v>4847.5</v>
      </c>
    </row>
    <row r="366" spans="1:3" x14ac:dyDescent="0.2">
      <c r="A366" s="2">
        <v>45372</v>
      </c>
      <c r="B366">
        <v>4008.52</v>
      </c>
      <c r="C366">
        <v>3781.61</v>
      </c>
    </row>
    <row r="367" spans="1:3" x14ac:dyDescent="0.2">
      <c r="A367" s="2">
        <v>45373</v>
      </c>
      <c r="B367">
        <v>5944.13</v>
      </c>
      <c r="C367">
        <v>5750.34</v>
      </c>
    </row>
    <row r="368" spans="1:3" x14ac:dyDescent="0.2">
      <c r="A368" s="2">
        <v>45374</v>
      </c>
      <c r="B368">
        <v>10564.31</v>
      </c>
      <c r="C368">
        <v>10197.58</v>
      </c>
    </row>
    <row r="369" spans="1:3" x14ac:dyDescent="0.2">
      <c r="A369" s="2">
        <v>45375</v>
      </c>
      <c r="B369">
        <v>4839.55</v>
      </c>
      <c r="C369">
        <v>4661.9799999999996</v>
      </c>
    </row>
    <row r="370" spans="1:3" x14ac:dyDescent="0.2">
      <c r="A370" s="2">
        <v>45376</v>
      </c>
      <c r="B370">
        <v>2995.49</v>
      </c>
      <c r="C370">
        <v>2788.86</v>
      </c>
    </row>
    <row r="371" spans="1:3" x14ac:dyDescent="0.2">
      <c r="A371" s="2">
        <v>45377</v>
      </c>
      <c r="B371">
        <v>4936.07</v>
      </c>
      <c r="C371">
        <v>4773.87</v>
      </c>
    </row>
    <row r="372" spans="1:3" x14ac:dyDescent="0.2">
      <c r="A372" s="2">
        <v>45378</v>
      </c>
      <c r="B372">
        <v>4598.6099999999997</v>
      </c>
      <c r="C372">
        <v>4559.28</v>
      </c>
    </row>
    <row r="373" spans="1:3" x14ac:dyDescent="0.2">
      <c r="A373" s="2">
        <v>45379</v>
      </c>
      <c r="B373">
        <v>4656.03</v>
      </c>
      <c r="C373">
        <v>4350.26</v>
      </c>
    </row>
    <row r="374" spans="1:3" x14ac:dyDescent="0.2">
      <c r="A374" s="2">
        <v>45380</v>
      </c>
      <c r="B374">
        <v>8953.7800000000007</v>
      </c>
      <c r="C374">
        <v>8549.26</v>
      </c>
    </row>
    <row r="375" spans="1:3" x14ac:dyDescent="0.2">
      <c r="A375" s="2">
        <v>45381</v>
      </c>
      <c r="B375">
        <v>10262.549999999999</v>
      </c>
      <c r="C375">
        <v>10128.59</v>
      </c>
    </row>
    <row r="376" spans="1:3" x14ac:dyDescent="0.2">
      <c r="A376" s="2">
        <v>45382</v>
      </c>
      <c r="B376">
        <v>5907.41</v>
      </c>
      <c r="C376">
        <v>5744.37</v>
      </c>
    </row>
    <row r="377" spans="1:3" x14ac:dyDescent="0.2">
      <c r="A377" s="2">
        <v>45383</v>
      </c>
      <c r="B377">
        <v>5449.31</v>
      </c>
      <c r="C377">
        <v>5274.48</v>
      </c>
    </row>
    <row r="378" spans="1:3" x14ac:dyDescent="0.2">
      <c r="A378" s="2">
        <v>45384</v>
      </c>
      <c r="B378">
        <v>4807.9799999999996</v>
      </c>
      <c r="C378">
        <v>4533.8100000000004</v>
      </c>
    </row>
    <row r="379" spans="1:3" x14ac:dyDescent="0.2">
      <c r="A379" s="2">
        <v>45385</v>
      </c>
      <c r="B379">
        <v>2963.82</v>
      </c>
      <c r="C379">
        <v>2887.82</v>
      </c>
    </row>
    <row r="380" spans="1:3" x14ac:dyDescent="0.2">
      <c r="A380" s="2">
        <v>45386</v>
      </c>
      <c r="B380">
        <v>4028.94</v>
      </c>
      <c r="C380">
        <v>3914.19</v>
      </c>
    </row>
    <row r="381" spans="1:3" x14ac:dyDescent="0.2">
      <c r="A381" s="2">
        <v>45387</v>
      </c>
      <c r="B381">
        <v>6659.59</v>
      </c>
      <c r="C381">
        <v>6511.02</v>
      </c>
    </row>
    <row r="382" spans="1:3" x14ac:dyDescent="0.2">
      <c r="A382" s="2">
        <v>45388</v>
      </c>
      <c r="B382">
        <v>9838.42</v>
      </c>
      <c r="C382">
        <v>9546.15</v>
      </c>
    </row>
    <row r="383" spans="1:3" x14ac:dyDescent="0.2">
      <c r="A383" s="2">
        <v>45389</v>
      </c>
      <c r="B383">
        <v>4422.13</v>
      </c>
      <c r="C383">
        <v>4284.71</v>
      </c>
    </row>
    <row r="384" spans="1:3" x14ac:dyDescent="0.2">
      <c r="A384" s="2">
        <v>45390</v>
      </c>
      <c r="B384">
        <v>3522.83</v>
      </c>
      <c r="C384">
        <v>3458.8</v>
      </c>
    </row>
    <row r="385" spans="1:3" x14ac:dyDescent="0.2">
      <c r="A385" s="2">
        <v>45391</v>
      </c>
      <c r="B385">
        <v>5081.6499999999996</v>
      </c>
      <c r="C385">
        <v>4921.01</v>
      </c>
    </row>
    <row r="386" spans="1:3" x14ac:dyDescent="0.2">
      <c r="A386" s="2">
        <v>45392</v>
      </c>
      <c r="B386">
        <v>3904.75</v>
      </c>
      <c r="C386">
        <v>3854.23</v>
      </c>
    </row>
    <row r="387" spans="1:3" x14ac:dyDescent="0.2">
      <c r="A387" s="2">
        <v>45393</v>
      </c>
      <c r="B387">
        <v>5537.01</v>
      </c>
      <c r="C387">
        <v>5131.29</v>
      </c>
    </row>
    <row r="388" spans="1:3" x14ac:dyDescent="0.2">
      <c r="A388" s="2">
        <v>45394</v>
      </c>
      <c r="B388">
        <v>7141.26</v>
      </c>
      <c r="C388">
        <v>6796.84</v>
      </c>
    </row>
    <row r="389" spans="1:3" x14ac:dyDescent="0.2">
      <c r="A389" s="2">
        <v>45395</v>
      </c>
      <c r="B389">
        <v>11308.72</v>
      </c>
      <c r="C389">
        <v>11039.3</v>
      </c>
    </row>
    <row r="390" spans="1:3" x14ac:dyDescent="0.2">
      <c r="A390" s="2">
        <v>45396</v>
      </c>
      <c r="B390">
        <v>3458.49</v>
      </c>
      <c r="C390">
        <v>3307.7</v>
      </c>
    </row>
    <row r="391" spans="1:3" x14ac:dyDescent="0.2">
      <c r="A391" s="2">
        <v>45397</v>
      </c>
      <c r="B391">
        <v>2720.28</v>
      </c>
      <c r="C391">
        <v>2665.86</v>
      </c>
    </row>
    <row r="392" spans="1:3" x14ac:dyDescent="0.2">
      <c r="A392" s="2">
        <v>45398</v>
      </c>
      <c r="B392">
        <v>3035.06</v>
      </c>
      <c r="C392">
        <v>2982.98</v>
      </c>
    </row>
    <row r="393" spans="1:3" x14ac:dyDescent="0.2">
      <c r="A393" s="2">
        <v>45399</v>
      </c>
      <c r="B393">
        <v>3849.52</v>
      </c>
      <c r="C393">
        <v>3809.33</v>
      </c>
    </row>
    <row r="394" spans="1:3" x14ac:dyDescent="0.2">
      <c r="A394" s="2">
        <v>45400</v>
      </c>
      <c r="B394">
        <v>2342.9699999999998</v>
      </c>
      <c r="C394">
        <v>2161.1999999999998</v>
      </c>
    </row>
    <row r="395" spans="1:3" x14ac:dyDescent="0.2">
      <c r="A395" s="2">
        <v>45401</v>
      </c>
      <c r="B395">
        <v>6396.54</v>
      </c>
      <c r="C395">
        <v>6180.42</v>
      </c>
    </row>
    <row r="396" spans="1:3" x14ac:dyDescent="0.2">
      <c r="A396" s="2">
        <v>45402</v>
      </c>
      <c r="B396">
        <v>11379</v>
      </c>
      <c r="C396">
        <v>10834.02</v>
      </c>
    </row>
    <row r="397" spans="1:3" x14ac:dyDescent="0.2">
      <c r="A397" s="2">
        <v>45403</v>
      </c>
      <c r="B397">
        <v>3485.51</v>
      </c>
      <c r="C397">
        <v>3412.76</v>
      </c>
    </row>
    <row r="398" spans="1:3" x14ac:dyDescent="0.2">
      <c r="A398" s="2">
        <v>45404</v>
      </c>
      <c r="B398">
        <v>1891.01</v>
      </c>
      <c r="C398">
        <v>1830.3</v>
      </c>
    </row>
    <row r="399" spans="1:3" x14ac:dyDescent="0.2">
      <c r="A399" s="2">
        <v>45405</v>
      </c>
      <c r="B399">
        <v>2241.0700000000002</v>
      </c>
      <c r="C399">
        <v>2199.23</v>
      </c>
    </row>
    <row r="400" spans="1:3" x14ac:dyDescent="0.2">
      <c r="A400" s="2">
        <v>45406</v>
      </c>
      <c r="B400">
        <v>3508.79</v>
      </c>
      <c r="C400">
        <v>3423.78</v>
      </c>
    </row>
    <row r="401" spans="1:3" x14ac:dyDescent="0.2">
      <c r="A401" s="2">
        <v>45407</v>
      </c>
      <c r="B401">
        <v>3403.94</v>
      </c>
      <c r="C401">
        <v>3370.5</v>
      </c>
    </row>
    <row r="402" spans="1:3" x14ac:dyDescent="0.2">
      <c r="A402" s="2">
        <v>45408</v>
      </c>
      <c r="B402">
        <v>5737.52</v>
      </c>
      <c r="C402">
        <v>5672.31</v>
      </c>
    </row>
    <row r="403" spans="1:3" x14ac:dyDescent="0.2">
      <c r="A403" s="2">
        <v>45409</v>
      </c>
      <c r="B403">
        <v>11880.96</v>
      </c>
      <c r="C403">
        <v>11743.17</v>
      </c>
    </row>
    <row r="404" spans="1:3" x14ac:dyDescent="0.2">
      <c r="A404" s="2">
        <v>45410</v>
      </c>
      <c r="B404">
        <v>5184.1499999999996</v>
      </c>
      <c r="C404">
        <v>5009.28</v>
      </c>
    </row>
    <row r="405" spans="1:3" x14ac:dyDescent="0.2">
      <c r="A405" s="2">
        <v>45411</v>
      </c>
      <c r="B405">
        <v>2938.5</v>
      </c>
      <c r="C405">
        <v>2888.71</v>
      </c>
    </row>
    <row r="406" spans="1:3" x14ac:dyDescent="0.2">
      <c r="A406" s="2">
        <v>45412</v>
      </c>
      <c r="B406">
        <v>4013.74</v>
      </c>
      <c r="C406">
        <v>3821.87</v>
      </c>
    </row>
    <row r="407" spans="1:3" x14ac:dyDescent="0.2">
      <c r="A407" s="2">
        <v>45413</v>
      </c>
      <c r="B407">
        <v>4457.96</v>
      </c>
      <c r="C407">
        <v>4230.96</v>
      </c>
    </row>
    <row r="408" spans="1:3" x14ac:dyDescent="0.2">
      <c r="A408" s="2">
        <v>45414</v>
      </c>
      <c r="B408">
        <v>3388.56</v>
      </c>
      <c r="C408">
        <v>3373.64</v>
      </c>
    </row>
    <row r="409" spans="1:3" x14ac:dyDescent="0.2">
      <c r="A409" s="2">
        <v>45415</v>
      </c>
      <c r="B409">
        <v>6269.18</v>
      </c>
      <c r="C409">
        <v>6120.62</v>
      </c>
    </row>
    <row r="410" spans="1:3" x14ac:dyDescent="0.2">
      <c r="A410" s="2">
        <v>45416</v>
      </c>
      <c r="B410">
        <v>12184.41</v>
      </c>
      <c r="C410">
        <v>11827.29</v>
      </c>
    </row>
    <row r="411" spans="1:3" x14ac:dyDescent="0.2">
      <c r="A411" s="2">
        <v>45417</v>
      </c>
      <c r="B411">
        <v>8809.65</v>
      </c>
      <c r="C411">
        <v>8323.82</v>
      </c>
    </row>
    <row r="412" spans="1:3" x14ac:dyDescent="0.2">
      <c r="A412" s="2">
        <v>45418</v>
      </c>
      <c r="B412">
        <v>3726.27</v>
      </c>
      <c r="C412">
        <v>3595.61</v>
      </c>
    </row>
    <row r="413" spans="1:3" x14ac:dyDescent="0.2">
      <c r="A413" s="2">
        <v>45419</v>
      </c>
      <c r="B413">
        <v>3495.16</v>
      </c>
      <c r="C413">
        <v>3437.91</v>
      </c>
    </row>
    <row r="414" spans="1:3" x14ac:dyDescent="0.2">
      <c r="A414" s="2">
        <v>45420</v>
      </c>
      <c r="B414">
        <v>2155.1</v>
      </c>
      <c r="C414">
        <v>2116.73</v>
      </c>
    </row>
    <row r="415" spans="1:3" x14ac:dyDescent="0.2">
      <c r="A415" s="2">
        <v>45421</v>
      </c>
      <c r="B415">
        <v>3006.21</v>
      </c>
      <c r="C415">
        <v>2965.04</v>
      </c>
    </row>
    <row r="416" spans="1:3" x14ac:dyDescent="0.2">
      <c r="A416" s="2">
        <v>45422</v>
      </c>
      <c r="B416">
        <v>5276.55</v>
      </c>
      <c r="C416">
        <v>5150.28</v>
      </c>
    </row>
    <row r="417" spans="1:3" x14ac:dyDescent="0.2">
      <c r="A417" s="2">
        <v>45423</v>
      </c>
      <c r="B417">
        <v>9302.76</v>
      </c>
      <c r="C417">
        <v>8885.94</v>
      </c>
    </row>
    <row r="418" spans="1:3" x14ac:dyDescent="0.2">
      <c r="A418" s="2">
        <v>45424</v>
      </c>
      <c r="B418">
        <v>5071.03</v>
      </c>
      <c r="C418">
        <v>4976.17</v>
      </c>
    </row>
    <row r="419" spans="1:3" x14ac:dyDescent="0.2">
      <c r="A419" s="2">
        <v>45425</v>
      </c>
      <c r="B419">
        <v>2457.34</v>
      </c>
      <c r="C419">
        <v>2325.3200000000002</v>
      </c>
    </row>
    <row r="420" spans="1:3" x14ac:dyDescent="0.2">
      <c r="A420" s="2">
        <v>45426</v>
      </c>
      <c r="B420">
        <v>3305.99</v>
      </c>
      <c r="C420">
        <v>3241.91</v>
      </c>
    </row>
    <row r="421" spans="1:3" x14ac:dyDescent="0.2">
      <c r="A421" s="2">
        <v>45427</v>
      </c>
      <c r="B421">
        <v>4070.61</v>
      </c>
      <c r="C421">
        <v>3891.47</v>
      </c>
    </row>
    <row r="422" spans="1:3" x14ac:dyDescent="0.2">
      <c r="A422" s="2">
        <v>45428</v>
      </c>
      <c r="B422">
        <v>3852.91</v>
      </c>
      <c r="C422">
        <v>3690.92</v>
      </c>
    </row>
    <row r="423" spans="1:3" x14ac:dyDescent="0.2">
      <c r="A423" s="2">
        <v>45429</v>
      </c>
      <c r="B423">
        <v>5500.04</v>
      </c>
      <c r="C423">
        <v>5412.42</v>
      </c>
    </row>
    <row r="424" spans="1:3" x14ac:dyDescent="0.2">
      <c r="A424" s="2">
        <v>45430</v>
      </c>
      <c r="B424">
        <v>9733.4</v>
      </c>
      <c r="C424">
        <v>9497.9</v>
      </c>
    </row>
    <row r="425" spans="1:3" x14ac:dyDescent="0.2">
      <c r="A425" s="2">
        <v>45431</v>
      </c>
      <c r="B425">
        <v>3643.47</v>
      </c>
      <c r="C425">
        <v>3496.95</v>
      </c>
    </row>
    <row r="426" spans="1:3" x14ac:dyDescent="0.2">
      <c r="A426" s="2">
        <v>45432</v>
      </c>
      <c r="B426">
        <v>4017.12</v>
      </c>
      <c r="C426">
        <v>3900.31</v>
      </c>
    </row>
    <row r="427" spans="1:3" x14ac:dyDescent="0.2">
      <c r="A427" s="2">
        <v>45433</v>
      </c>
      <c r="B427">
        <v>3306.37</v>
      </c>
      <c r="C427">
        <v>3261.58</v>
      </c>
    </row>
    <row r="428" spans="1:3" x14ac:dyDescent="0.2">
      <c r="A428" s="2">
        <v>45434</v>
      </c>
      <c r="B428">
        <v>3012.05</v>
      </c>
      <c r="C428">
        <v>2908.59</v>
      </c>
    </row>
    <row r="429" spans="1:3" x14ac:dyDescent="0.2">
      <c r="A429" s="2">
        <v>45435</v>
      </c>
      <c r="B429">
        <v>3120.93</v>
      </c>
      <c r="C429">
        <v>3089.22</v>
      </c>
    </row>
    <row r="430" spans="1:3" x14ac:dyDescent="0.2">
      <c r="A430" s="2">
        <v>45436</v>
      </c>
      <c r="B430">
        <v>6733.11</v>
      </c>
      <c r="C430">
        <v>6615.99</v>
      </c>
    </row>
    <row r="431" spans="1:3" x14ac:dyDescent="0.2">
      <c r="A431" s="2">
        <v>45437</v>
      </c>
      <c r="B431">
        <v>8140.97</v>
      </c>
      <c r="C431">
        <v>7909.6</v>
      </c>
    </row>
    <row r="432" spans="1:3" x14ac:dyDescent="0.2">
      <c r="A432" s="2">
        <v>45438</v>
      </c>
      <c r="B432">
        <v>7377.66</v>
      </c>
      <c r="C432">
        <v>7092.3</v>
      </c>
    </row>
    <row r="433" spans="1:3" x14ac:dyDescent="0.2">
      <c r="A433" s="2">
        <v>45439</v>
      </c>
      <c r="B433">
        <v>5591.52</v>
      </c>
      <c r="C433">
        <v>5383.15</v>
      </c>
    </row>
    <row r="434" spans="1:3" x14ac:dyDescent="0.2">
      <c r="A434" s="2">
        <v>45440</v>
      </c>
      <c r="B434">
        <v>5507.76</v>
      </c>
      <c r="C434">
        <v>5437.2</v>
      </c>
    </row>
    <row r="435" spans="1:3" x14ac:dyDescent="0.2">
      <c r="A435" s="2">
        <v>45441</v>
      </c>
      <c r="B435">
        <v>4305.7</v>
      </c>
      <c r="C435">
        <v>4261.01</v>
      </c>
    </row>
    <row r="436" spans="1:3" x14ac:dyDescent="0.2">
      <c r="A436" s="2">
        <v>45442</v>
      </c>
      <c r="B436">
        <v>4353.13</v>
      </c>
      <c r="C436">
        <v>4294.13</v>
      </c>
    </row>
    <row r="437" spans="1:3" x14ac:dyDescent="0.2">
      <c r="A437" s="2">
        <v>45443</v>
      </c>
      <c r="B437">
        <v>7036.63</v>
      </c>
      <c r="C437">
        <v>6712.36</v>
      </c>
    </row>
    <row r="438" spans="1:3" x14ac:dyDescent="0.2">
      <c r="A438" s="2">
        <v>45444</v>
      </c>
      <c r="B438">
        <v>9464.27</v>
      </c>
      <c r="C438">
        <v>9273.77</v>
      </c>
    </row>
    <row r="439" spans="1:3" x14ac:dyDescent="0.2">
      <c r="A439" s="2">
        <v>45445</v>
      </c>
      <c r="B439">
        <v>3388.2</v>
      </c>
      <c r="C439">
        <v>3205.33</v>
      </c>
    </row>
    <row r="440" spans="1:3" x14ac:dyDescent="0.2">
      <c r="A440" s="2">
        <v>45446</v>
      </c>
      <c r="B440">
        <v>3379.33</v>
      </c>
      <c r="C440">
        <v>3269.68</v>
      </c>
    </row>
    <row r="441" spans="1:3" x14ac:dyDescent="0.2">
      <c r="A441" s="2">
        <v>45447</v>
      </c>
      <c r="B441">
        <v>3322.93</v>
      </c>
      <c r="C441">
        <v>3193.56</v>
      </c>
    </row>
    <row r="442" spans="1:3" x14ac:dyDescent="0.2">
      <c r="A442" s="2">
        <v>45448</v>
      </c>
      <c r="B442">
        <v>3248.24</v>
      </c>
      <c r="C442">
        <v>3131.84</v>
      </c>
    </row>
    <row r="443" spans="1:3" x14ac:dyDescent="0.2">
      <c r="A443" s="2">
        <v>45449</v>
      </c>
      <c r="B443">
        <v>4414.3</v>
      </c>
      <c r="C443">
        <v>4354.84</v>
      </c>
    </row>
    <row r="444" spans="1:3" x14ac:dyDescent="0.2">
      <c r="A444" s="2">
        <v>45450</v>
      </c>
      <c r="B444">
        <v>4808.2700000000004</v>
      </c>
      <c r="C444">
        <v>4681.34</v>
      </c>
    </row>
    <row r="445" spans="1:3" x14ac:dyDescent="0.2">
      <c r="A445" s="2">
        <v>45451</v>
      </c>
      <c r="B445">
        <v>9408.14</v>
      </c>
      <c r="C445">
        <v>9015.56</v>
      </c>
    </row>
    <row r="446" spans="1:3" x14ac:dyDescent="0.2">
      <c r="A446" s="2">
        <v>45452</v>
      </c>
      <c r="B446">
        <v>2899.78</v>
      </c>
      <c r="C446">
        <v>2867.57</v>
      </c>
    </row>
    <row r="447" spans="1:3" x14ac:dyDescent="0.2">
      <c r="A447" s="2">
        <v>45453</v>
      </c>
      <c r="B447">
        <v>3532.73</v>
      </c>
      <c r="C447">
        <v>3292.01</v>
      </c>
    </row>
    <row r="448" spans="1:3" x14ac:dyDescent="0.2">
      <c r="A448" s="2">
        <v>45454</v>
      </c>
      <c r="B448">
        <v>3428.2</v>
      </c>
      <c r="C448">
        <v>3393.3</v>
      </c>
    </row>
    <row r="449" spans="1:3" x14ac:dyDescent="0.2">
      <c r="A449" s="2">
        <v>45455</v>
      </c>
      <c r="B449">
        <v>2667.22</v>
      </c>
      <c r="C449">
        <v>2486.54</v>
      </c>
    </row>
    <row r="450" spans="1:3" x14ac:dyDescent="0.2">
      <c r="A450" s="2">
        <v>45456</v>
      </c>
      <c r="B450">
        <v>3455.03</v>
      </c>
      <c r="C450">
        <v>3426.21</v>
      </c>
    </row>
    <row r="451" spans="1:3" x14ac:dyDescent="0.2">
      <c r="A451" s="2">
        <v>45457</v>
      </c>
      <c r="B451">
        <v>7040.91</v>
      </c>
      <c r="C451">
        <v>6833.47</v>
      </c>
    </row>
    <row r="452" spans="1:3" x14ac:dyDescent="0.2">
      <c r="A452" s="2">
        <v>45458</v>
      </c>
      <c r="B452">
        <v>8665.33</v>
      </c>
      <c r="C452">
        <v>8509.9599999999991</v>
      </c>
    </row>
    <row r="453" spans="1:3" x14ac:dyDescent="0.2">
      <c r="A453" s="2">
        <v>45459</v>
      </c>
      <c r="B453">
        <v>5881.64</v>
      </c>
      <c r="C453">
        <v>5804.73</v>
      </c>
    </row>
    <row r="454" spans="1:3" x14ac:dyDescent="0.2">
      <c r="A454" s="2">
        <v>45460</v>
      </c>
      <c r="B454">
        <v>3424.89</v>
      </c>
      <c r="C454">
        <v>3303.11</v>
      </c>
    </row>
    <row r="455" spans="1:3" x14ac:dyDescent="0.2">
      <c r="A455" s="2">
        <v>45461</v>
      </c>
      <c r="B455">
        <v>2803.61</v>
      </c>
      <c r="C455">
        <v>2740.49</v>
      </c>
    </row>
    <row r="456" spans="1:3" x14ac:dyDescent="0.2">
      <c r="A456" s="2">
        <v>45462</v>
      </c>
      <c r="B456">
        <v>3042.13</v>
      </c>
      <c r="C456">
        <v>2945.63</v>
      </c>
    </row>
    <row r="457" spans="1:3" x14ac:dyDescent="0.2">
      <c r="A457" s="2">
        <v>45463</v>
      </c>
      <c r="B457">
        <v>3358.42</v>
      </c>
      <c r="C457">
        <v>3288.05</v>
      </c>
    </row>
    <row r="458" spans="1:3" x14ac:dyDescent="0.2">
      <c r="A458" s="2">
        <v>45464</v>
      </c>
      <c r="B458">
        <v>5574.66</v>
      </c>
      <c r="C458">
        <v>5339.58</v>
      </c>
    </row>
    <row r="459" spans="1:3" x14ac:dyDescent="0.2">
      <c r="A459" s="2">
        <v>45465</v>
      </c>
      <c r="B459">
        <v>10305.129999999999</v>
      </c>
      <c r="C459">
        <v>10016.98</v>
      </c>
    </row>
    <row r="460" spans="1:3" x14ac:dyDescent="0.2">
      <c r="A460" s="2">
        <v>45466</v>
      </c>
      <c r="B460">
        <v>4043.56</v>
      </c>
      <c r="C460">
        <v>3952.27</v>
      </c>
    </row>
    <row r="461" spans="1:3" x14ac:dyDescent="0.2">
      <c r="A461" s="2">
        <v>45467</v>
      </c>
      <c r="B461">
        <v>2984.17</v>
      </c>
      <c r="C461">
        <v>2875.38</v>
      </c>
    </row>
    <row r="462" spans="1:3" x14ac:dyDescent="0.2">
      <c r="A462" s="2">
        <v>45468</v>
      </c>
      <c r="B462">
        <v>2570.7399999999998</v>
      </c>
      <c r="C462">
        <v>2441.5500000000002</v>
      </c>
    </row>
    <row r="463" spans="1:3" x14ac:dyDescent="0.2">
      <c r="A463" s="2">
        <v>45469</v>
      </c>
      <c r="B463">
        <v>3196.51</v>
      </c>
      <c r="C463">
        <v>3147.89</v>
      </c>
    </row>
    <row r="464" spans="1:3" x14ac:dyDescent="0.2">
      <c r="A464" s="2">
        <v>45470</v>
      </c>
      <c r="B464">
        <v>5128.29</v>
      </c>
      <c r="C464">
        <v>5034.33</v>
      </c>
    </row>
    <row r="465" spans="1:3" x14ac:dyDescent="0.2">
      <c r="A465" s="2">
        <v>45471</v>
      </c>
      <c r="B465">
        <v>6922.52</v>
      </c>
      <c r="C465">
        <v>6715.88</v>
      </c>
    </row>
    <row r="466" spans="1:3" x14ac:dyDescent="0.2">
      <c r="A466" s="2">
        <v>45472</v>
      </c>
      <c r="B466">
        <v>9019.42</v>
      </c>
      <c r="C466">
        <v>8749.4500000000007</v>
      </c>
    </row>
    <row r="467" spans="1:3" x14ac:dyDescent="0.2">
      <c r="A467" s="2">
        <v>45473</v>
      </c>
      <c r="B467">
        <v>3307.62</v>
      </c>
      <c r="C467">
        <v>3245.57</v>
      </c>
    </row>
    <row r="468" spans="1:3" x14ac:dyDescent="0.2">
      <c r="A468" s="2">
        <v>45474</v>
      </c>
      <c r="B468">
        <v>2607.4699999999998</v>
      </c>
      <c r="C468">
        <v>2472.1799999999998</v>
      </c>
    </row>
    <row r="469" spans="1:3" x14ac:dyDescent="0.2">
      <c r="A469" s="2">
        <v>45475</v>
      </c>
      <c r="B469">
        <v>3208.29</v>
      </c>
      <c r="C469">
        <v>3135.77</v>
      </c>
    </row>
    <row r="470" spans="1:3" x14ac:dyDescent="0.2">
      <c r="A470" s="2">
        <v>45476</v>
      </c>
      <c r="B470">
        <v>2847.74</v>
      </c>
      <c r="C470">
        <v>2654.41</v>
      </c>
    </row>
    <row r="471" spans="1:3" x14ac:dyDescent="0.2">
      <c r="A471" s="2">
        <v>45477</v>
      </c>
      <c r="B471">
        <v>3743</v>
      </c>
      <c r="C471">
        <v>3654.57</v>
      </c>
    </row>
    <row r="472" spans="1:3" x14ac:dyDescent="0.2">
      <c r="A472" s="2">
        <v>45478</v>
      </c>
      <c r="B472">
        <v>5272.17</v>
      </c>
      <c r="C472">
        <v>5146.46</v>
      </c>
    </row>
    <row r="473" spans="1:3" x14ac:dyDescent="0.2">
      <c r="A473" s="2">
        <v>45479</v>
      </c>
      <c r="B473">
        <v>8983.25</v>
      </c>
      <c r="C473">
        <v>8824.92</v>
      </c>
    </row>
    <row r="474" spans="1:3" x14ac:dyDescent="0.2">
      <c r="A474" s="2">
        <v>45480</v>
      </c>
      <c r="B474">
        <v>3392.83</v>
      </c>
      <c r="C474">
        <v>3260.46</v>
      </c>
    </row>
    <row r="475" spans="1:3" x14ac:dyDescent="0.2">
      <c r="A475" s="2">
        <v>45481</v>
      </c>
      <c r="B475">
        <v>2918.07</v>
      </c>
      <c r="C475">
        <v>2815.74</v>
      </c>
    </row>
    <row r="476" spans="1:3" x14ac:dyDescent="0.2">
      <c r="A476" s="2">
        <v>45482</v>
      </c>
      <c r="B476">
        <v>4061.63</v>
      </c>
      <c r="C476">
        <v>4008.02</v>
      </c>
    </row>
    <row r="477" spans="1:3" x14ac:dyDescent="0.2">
      <c r="A477" s="2">
        <v>45483</v>
      </c>
      <c r="B477">
        <v>2559.7600000000002</v>
      </c>
      <c r="C477">
        <v>2398.52</v>
      </c>
    </row>
    <row r="478" spans="1:3" x14ac:dyDescent="0.2">
      <c r="A478" s="2">
        <v>45484</v>
      </c>
      <c r="B478">
        <v>4258.58</v>
      </c>
      <c r="C478">
        <v>4144.24</v>
      </c>
    </row>
    <row r="479" spans="1:3" x14ac:dyDescent="0.2">
      <c r="A479" s="2">
        <v>45485</v>
      </c>
      <c r="B479">
        <v>6318.83</v>
      </c>
      <c r="C479">
        <v>6199</v>
      </c>
    </row>
    <row r="480" spans="1:3" x14ac:dyDescent="0.2">
      <c r="A480" s="2">
        <v>45486</v>
      </c>
      <c r="B480">
        <v>9517.5400000000009</v>
      </c>
      <c r="C480">
        <v>9377.3799999999992</v>
      </c>
    </row>
    <row r="481" spans="1:3" x14ac:dyDescent="0.2">
      <c r="A481" s="2">
        <v>45487</v>
      </c>
      <c r="B481">
        <v>2153.86</v>
      </c>
      <c r="C481">
        <v>2055.36</v>
      </c>
    </row>
    <row r="482" spans="1:3" x14ac:dyDescent="0.2">
      <c r="A482" s="2">
        <v>45488</v>
      </c>
      <c r="B482">
        <v>2821.15</v>
      </c>
      <c r="C482">
        <v>2793.48</v>
      </c>
    </row>
    <row r="483" spans="1:3" x14ac:dyDescent="0.2">
      <c r="A483" s="2">
        <v>45489</v>
      </c>
      <c r="B483">
        <v>4545.96</v>
      </c>
      <c r="C483">
        <v>4507.25</v>
      </c>
    </row>
    <row r="484" spans="1:3" x14ac:dyDescent="0.2">
      <c r="A484" s="2">
        <v>45490</v>
      </c>
      <c r="B484">
        <v>4651.38</v>
      </c>
      <c r="C484">
        <v>4584.38</v>
      </c>
    </row>
    <row r="485" spans="1:3" x14ac:dyDescent="0.2">
      <c r="A485" s="2">
        <v>45491</v>
      </c>
      <c r="B485">
        <v>4144.97</v>
      </c>
      <c r="C485">
        <v>4028.37</v>
      </c>
    </row>
    <row r="486" spans="1:3" x14ac:dyDescent="0.2">
      <c r="A486" s="2">
        <v>45492</v>
      </c>
      <c r="B486">
        <v>6115.72</v>
      </c>
      <c r="C486">
        <v>5657.05</v>
      </c>
    </row>
    <row r="487" spans="1:3" x14ac:dyDescent="0.2">
      <c r="A487" s="2">
        <v>45493</v>
      </c>
      <c r="B487">
        <v>9559.8799999999992</v>
      </c>
      <c r="C487">
        <v>9313.85</v>
      </c>
    </row>
    <row r="488" spans="1:3" x14ac:dyDescent="0.2">
      <c r="A488" s="2">
        <v>45494</v>
      </c>
      <c r="B488">
        <v>4847.93</v>
      </c>
      <c r="C488">
        <v>4685.3100000000004</v>
      </c>
    </row>
    <row r="489" spans="1:3" x14ac:dyDescent="0.2">
      <c r="A489" s="2">
        <v>45495</v>
      </c>
      <c r="B489">
        <v>3874.37</v>
      </c>
      <c r="C489">
        <v>3519.37</v>
      </c>
    </row>
    <row r="490" spans="1:3" x14ac:dyDescent="0.2">
      <c r="A490" s="2">
        <v>45496</v>
      </c>
      <c r="B490">
        <v>4841.66</v>
      </c>
      <c r="C490">
        <v>4510.37</v>
      </c>
    </row>
    <row r="491" spans="1:3" x14ac:dyDescent="0.2">
      <c r="A491" s="2">
        <v>45497</v>
      </c>
      <c r="B491">
        <v>5166.82</v>
      </c>
      <c r="C491">
        <v>5020.6099999999997</v>
      </c>
    </row>
    <row r="492" spans="1:3" x14ac:dyDescent="0.2">
      <c r="A492" s="2">
        <v>45498</v>
      </c>
      <c r="B492">
        <v>9389.94</v>
      </c>
      <c r="C492">
        <v>9089.5400000000009</v>
      </c>
    </row>
    <row r="493" spans="1:3" x14ac:dyDescent="0.2">
      <c r="A493" s="2">
        <v>45499</v>
      </c>
      <c r="B493">
        <v>6731.88</v>
      </c>
      <c r="C493">
        <v>6633.69</v>
      </c>
    </row>
    <row r="494" spans="1:3" x14ac:dyDescent="0.2">
      <c r="A494" s="2">
        <v>45500</v>
      </c>
      <c r="B494">
        <v>10167.780000000001</v>
      </c>
      <c r="C494">
        <v>10084.219999999999</v>
      </c>
    </row>
    <row r="495" spans="1:3" x14ac:dyDescent="0.2">
      <c r="A495" s="2">
        <v>45501</v>
      </c>
      <c r="B495">
        <v>4883.13</v>
      </c>
      <c r="C495">
        <v>4706.38</v>
      </c>
    </row>
    <row r="496" spans="1:3" x14ac:dyDescent="0.2">
      <c r="A496" s="2">
        <v>45502</v>
      </c>
      <c r="B496">
        <v>5073.21</v>
      </c>
      <c r="C496">
        <v>5023.67</v>
      </c>
    </row>
    <row r="497" spans="1:3" x14ac:dyDescent="0.2">
      <c r="A497" s="2">
        <v>45503</v>
      </c>
      <c r="B497">
        <v>5372.46</v>
      </c>
      <c r="C497">
        <v>5253.92</v>
      </c>
    </row>
    <row r="498" spans="1:3" x14ac:dyDescent="0.2">
      <c r="A498" s="2">
        <v>45504</v>
      </c>
      <c r="B498">
        <v>7861.5</v>
      </c>
      <c r="C498">
        <v>7823.52</v>
      </c>
    </row>
    <row r="499" spans="1:3" x14ac:dyDescent="0.2">
      <c r="A499" s="2">
        <v>45505</v>
      </c>
      <c r="B499">
        <v>6737.71</v>
      </c>
      <c r="C499">
        <v>6543.13</v>
      </c>
    </row>
    <row r="500" spans="1:3" x14ac:dyDescent="0.2">
      <c r="A500" s="2">
        <v>45506</v>
      </c>
      <c r="B500">
        <v>6442.66</v>
      </c>
      <c r="C500">
        <v>6319.08</v>
      </c>
    </row>
    <row r="501" spans="1:3" x14ac:dyDescent="0.2">
      <c r="A501" s="2">
        <v>45507</v>
      </c>
      <c r="B501">
        <v>8524.3700000000008</v>
      </c>
      <c r="C501">
        <v>8401.6200000000008</v>
      </c>
    </row>
    <row r="502" spans="1:3" x14ac:dyDescent="0.2">
      <c r="A502" s="2">
        <v>45508</v>
      </c>
      <c r="B502">
        <v>4126.01</v>
      </c>
      <c r="C502">
        <v>4048.97</v>
      </c>
    </row>
    <row r="503" spans="1:3" x14ac:dyDescent="0.2">
      <c r="A503" s="2">
        <v>45509</v>
      </c>
      <c r="B503">
        <v>3154.05</v>
      </c>
      <c r="C503">
        <v>3072.22</v>
      </c>
    </row>
    <row r="504" spans="1:3" x14ac:dyDescent="0.2">
      <c r="A504" s="2">
        <v>45510</v>
      </c>
      <c r="B504">
        <v>4528.66</v>
      </c>
      <c r="C504">
        <v>4474.7</v>
      </c>
    </row>
    <row r="505" spans="1:3" x14ac:dyDescent="0.2">
      <c r="A505" s="2">
        <v>45511</v>
      </c>
      <c r="B505">
        <v>4347.12</v>
      </c>
      <c r="C505">
        <v>4187.25</v>
      </c>
    </row>
    <row r="506" spans="1:3" x14ac:dyDescent="0.2">
      <c r="A506" s="2">
        <v>45512</v>
      </c>
      <c r="B506">
        <v>4097.88</v>
      </c>
      <c r="C506">
        <v>4041.8</v>
      </c>
    </row>
    <row r="507" spans="1:3" x14ac:dyDescent="0.2">
      <c r="A507" s="2">
        <v>45513</v>
      </c>
      <c r="B507">
        <v>6531.89</v>
      </c>
      <c r="C507">
        <v>6438.31</v>
      </c>
    </row>
    <row r="508" spans="1:3" x14ac:dyDescent="0.2">
      <c r="A508" s="2">
        <v>45514</v>
      </c>
      <c r="B508">
        <v>9385.36</v>
      </c>
      <c r="C508">
        <v>9171.48</v>
      </c>
    </row>
    <row r="509" spans="1:3" x14ac:dyDescent="0.2">
      <c r="A509" s="2">
        <v>45515</v>
      </c>
      <c r="B509">
        <v>4173.7299999999996</v>
      </c>
      <c r="C509">
        <v>4112.7299999999996</v>
      </c>
    </row>
    <row r="510" spans="1:3" x14ac:dyDescent="0.2">
      <c r="A510" s="2">
        <v>45516</v>
      </c>
      <c r="B510">
        <v>3758.32</v>
      </c>
      <c r="C510">
        <v>3688.75</v>
      </c>
    </row>
    <row r="511" spans="1:3" x14ac:dyDescent="0.2">
      <c r="A511" s="2">
        <v>45517</v>
      </c>
      <c r="B511">
        <v>2872.46</v>
      </c>
      <c r="C511">
        <v>2766.32</v>
      </c>
    </row>
    <row r="512" spans="1:3" x14ac:dyDescent="0.2">
      <c r="A512" s="2">
        <v>45518</v>
      </c>
      <c r="B512">
        <v>4374.96</v>
      </c>
      <c r="C512">
        <v>4243.29</v>
      </c>
    </row>
    <row r="513" spans="1:3" x14ac:dyDescent="0.2">
      <c r="A513" s="2">
        <v>45519</v>
      </c>
      <c r="B513">
        <v>4831.43</v>
      </c>
      <c r="C513">
        <v>4677.93</v>
      </c>
    </row>
    <row r="514" spans="1:3" x14ac:dyDescent="0.2">
      <c r="A514" s="2">
        <v>45520</v>
      </c>
      <c r="B514">
        <v>6724.89</v>
      </c>
      <c r="C514">
        <v>6502.06</v>
      </c>
    </row>
    <row r="515" spans="1:3" x14ac:dyDescent="0.2">
      <c r="A515" s="2">
        <v>45521</v>
      </c>
      <c r="B515">
        <v>8585.2199999999993</v>
      </c>
      <c r="C515">
        <v>8243.7199999999993</v>
      </c>
    </row>
    <row r="516" spans="1:3" x14ac:dyDescent="0.2">
      <c r="A516" s="2">
        <v>45522</v>
      </c>
      <c r="B516">
        <v>4307</v>
      </c>
      <c r="C516">
        <v>4140.7299999999996</v>
      </c>
    </row>
    <row r="517" spans="1:3" x14ac:dyDescent="0.2">
      <c r="A517" s="2">
        <v>45523</v>
      </c>
      <c r="B517">
        <v>3249.24</v>
      </c>
      <c r="C517">
        <v>3193.87</v>
      </c>
    </row>
    <row r="518" spans="1:3" x14ac:dyDescent="0.2">
      <c r="A518" s="2">
        <v>45524</v>
      </c>
      <c r="B518">
        <v>3822.96</v>
      </c>
      <c r="C518">
        <v>3776.75</v>
      </c>
    </row>
    <row r="519" spans="1:3" x14ac:dyDescent="0.2">
      <c r="A519" s="2">
        <v>45525</v>
      </c>
      <c r="B519">
        <v>4851.24</v>
      </c>
      <c r="C519">
        <v>4631.62</v>
      </c>
    </row>
    <row r="520" spans="1:3" x14ac:dyDescent="0.2">
      <c r="A520" s="2">
        <v>45526</v>
      </c>
      <c r="B520">
        <v>4647.6000000000004</v>
      </c>
      <c r="C520">
        <v>4582.8900000000003</v>
      </c>
    </row>
    <row r="521" spans="1:3" x14ac:dyDescent="0.2">
      <c r="A521" s="2">
        <v>45527</v>
      </c>
      <c r="B521">
        <v>6577.97</v>
      </c>
      <c r="C521">
        <v>6499.1</v>
      </c>
    </row>
    <row r="522" spans="1:3" x14ac:dyDescent="0.2">
      <c r="A522" s="2">
        <v>45528</v>
      </c>
      <c r="B522">
        <v>8380.2199999999993</v>
      </c>
      <c r="C522">
        <v>8163.89</v>
      </c>
    </row>
    <row r="523" spans="1:3" x14ac:dyDescent="0.2">
      <c r="A523" s="2">
        <v>45529</v>
      </c>
      <c r="B523">
        <v>6794.57</v>
      </c>
      <c r="C523">
        <v>6511.07</v>
      </c>
    </row>
    <row r="524" spans="1:3" x14ac:dyDescent="0.2">
      <c r="A524" s="2">
        <v>45530</v>
      </c>
      <c r="B524">
        <v>3436.7</v>
      </c>
      <c r="C524">
        <v>3341.73</v>
      </c>
    </row>
    <row r="525" spans="1:3" x14ac:dyDescent="0.2">
      <c r="A525" s="2">
        <v>45531</v>
      </c>
      <c r="B525">
        <v>3359.72</v>
      </c>
      <c r="C525">
        <v>3306.8</v>
      </c>
    </row>
    <row r="526" spans="1:3" x14ac:dyDescent="0.2">
      <c r="A526" s="2">
        <v>45532</v>
      </c>
      <c r="B526">
        <v>3717.9</v>
      </c>
      <c r="C526">
        <v>3651.65</v>
      </c>
    </row>
    <row r="527" spans="1:3" x14ac:dyDescent="0.2">
      <c r="A527" s="2">
        <v>45533</v>
      </c>
      <c r="B527">
        <v>9145.5499999999993</v>
      </c>
      <c r="C527">
        <v>4500.55</v>
      </c>
    </row>
    <row r="528" spans="1:3" x14ac:dyDescent="0.2">
      <c r="A528" s="2">
        <v>45535</v>
      </c>
      <c r="B528">
        <v>7667.07</v>
      </c>
      <c r="C528">
        <v>7617.99</v>
      </c>
    </row>
    <row r="529" spans="1:3" x14ac:dyDescent="0.2">
      <c r="A529" s="2">
        <v>45536</v>
      </c>
      <c r="B529">
        <v>4368.42</v>
      </c>
      <c r="C529">
        <v>4328.59</v>
      </c>
    </row>
    <row r="530" spans="1:3" x14ac:dyDescent="0.2">
      <c r="A530" s="2">
        <v>45537</v>
      </c>
      <c r="B530">
        <v>2717.39</v>
      </c>
      <c r="C530">
        <v>2564.02</v>
      </c>
    </row>
    <row r="531" spans="1:3" x14ac:dyDescent="0.2">
      <c r="A531" s="2">
        <v>45538</v>
      </c>
      <c r="B531">
        <v>2651.9</v>
      </c>
      <c r="C531">
        <v>2601.8200000000002</v>
      </c>
    </row>
    <row r="532" spans="1:3" x14ac:dyDescent="0.2">
      <c r="A532" s="2">
        <v>45539</v>
      </c>
      <c r="B532">
        <v>2205.6999999999998</v>
      </c>
      <c r="C532">
        <v>2185.13</v>
      </c>
    </row>
    <row r="533" spans="1:3" x14ac:dyDescent="0.2">
      <c r="A533" s="2">
        <v>45540</v>
      </c>
      <c r="B533">
        <v>2674.36</v>
      </c>
      <c r="C533">
        <v>2491.4899999999998</v>
      </c>
    </row>
    <row r="534" spans="1:3" x14ac:dyDescent="0.2">
      <c r="A534" s="2">
        <v>45541</v>
      </c>
      <c r="B534">
        <v>5090.4399999999996</v>
      </c>
      <c r="C534">
        <v>4845.8100000000004</v>
      </c>
    </row>
    <row r="535" spans="1:3" x14ac:dyDescent="0.2">
      <c r="A535" s="2">
        <v>45542</v>
      </c>
      <c r="B535">
        <v>8355.74</v>
      </c>
      <c r="C535">
        <v>8126.16</v>
      </c>
    </row>
    <row r="536" spans="1:3" x14ac:dyDescent="0.2">
      <c r="A536" s="2">
        <v>45543</v>
      </c>
      <c r="B536">
        <v>3306.45</v>
      </c>
      <c r="C536">
        <v>3262.49</v>
      </c>
    </row>
    <row r="537" spans="1:3" x14ac:dyDescent="0.2">
      <c r="A537" s="2">
        <v>45544</v>
      </c>
      <c r="B537">
        <v>3706.35</v>
      </c>
      <c r="C537">
        <v>3647.62</v>
      </c>
    </row>
    <row r="538" spans="1:3" x14ac:dyDescent="0.2">
      <c r="A538" s="2">
        <v>45545</v>
      </c>
      <c r="B538">
        <v>3663.63</v>
      </c>
      <c r="C538">
        <v>3515.59</v>
      </c>
    </row>
    <row r="539" spans="1:3" x14ac:dyDescent="0.2">
      <c r="A539" s="2">
        <v>45546</v>
      </c>
      <c r="B539">
        <v>2931.32</v>
      </c>
      <c r="C539">
        <v>2827.32</v>
      </c>
    </row>
    <row r="540" spans="1:3" x14ac:dyDescent="0.2">
      <c r="A540" s="2">
        <v>45547</v>
      </c>
      <c r="B540">
        <v>2870.02</v>
      </c>
      <c r="C540">
        <v>2811.1</v>
      </c>
    </row>
    <row r="541" spans="1:3" x14ac:dyDescent="0.2">
      <c r="A541" s="2">
        <v>45548</v>
      </c>
      <c r="B541">
        <v>6424.28</v>
      </c>
      <c r="C541">
        <v>6297.16</v>
      </c>
    </row>
    <row r="542" spans="1:3" x14ac:dyDescent="0.2">
      <c r="A542" s="2">
        <v>45549</v>
      </c>
      <c r="B542">
        <v>8428.41</v>
      </c>
      <c r="C542">
        <v>8015.59</v>
      </c>
    </row>
    <row r="543" spans="1:3" x14ac:dyDescent="0.2">
      <c r="A543" s="2">
        <v>45550</v>
      </c>
      <c r="B543">
        <v>4018.8</v>
      </c>
      <c r="C543">
        <v>3931.34</v>
      </c>
    </row>
    <row r="544" spans="1:3" x14ac:dyDescent="0.2">
      <c r="A544" s="2">
        <v>45551</v>
      </c>
      <c r="B544">
        <v>2853.98</v>
      </c>
      <c r="C544">
        <v>2815.61</v>
      </c>
    </row>
    <row r="545" spans="1:3" x14ac:dyDescent="0.2">
      <c r="A545" s="2">
        <v>45552</v>
      </c>
      <c r="B545">
        <v>3202.1</v>
      </c>
      <c r="C545">
        <v>3090.98</v>
      </c>
    </row>
    <row r="546" spans="1:3" x14ac:dyDescent="0.2">
      <c r="A546" s="2">
        <v>45553</v>
      </c>
      <c r="B546">
        <v>3421.85</v>
      </c>
      <c r="C546">
        <v>3345.1</v>
      </c>
    </row>
    <row r="547" spans="1:3" x14ac:dyDescent="0.2">
      <c r="A547" s="2">
        <v>45554</v>
      </c>
      <c r="B547">
        <v>3087.3</v>
      </c>
      <c r="C547">
        <v>3029.63</v>
      </c>
    </row>
    <row r="548" spans="1:3" x14ac:dyDescent="0.2">
      <c r="A548" s="2">
        <v>45555</v>
      </c>
      <c r="B548">
        <v>6231.39</v>
      </c>
      <c r="C548">
        <v>6150.18</v>
      </c>
    </row>
    <row r="549" spans="1:3" x14ac:dyDescent="0.2">
      <c r="A549" s="2">
        <v>45556</v>
      </c>
      <c r="B549">
        <v>9473.49</v>
      </c>
      <c r="C549">
        <v>9344.16</v>
      </c>
    </row>
    <row r="550" spans="1:3" x14ac:dyDescent="0.2">
      <c r="A550" s="2">
        <v>45557</v>
      </c>
      <c r="B550">
        <v>2638.66</v>
      </c>
      <c r="C550">
        <v>2457.34</v>
      </c>
    </row>
    <row r="551" spans="1:3" x14ac:dyDescent="0.2">
      <c r="A551" s="2">
        <v>45558</v>
      </c>
      <c r="B551">
        <v>2691.07</v>
      </c>
      <c r="C551">
        <v>2634.75</v>
      </c>
    </row>
    <row r="552" spans="1:3" x14ac:dyDescent="0.2">
      <c r="A552" s="2">
        <v>45559</v>
      </c>
      <c r="B552">
        <v>3432.89</v>
      </c>
      <c r="C552">
        <v>3037.06</v>
      </c>
    </row>
    <row r="553" spans="1:3" x14ac:dyDescent="0.2">
      <c r="A553" s="2">
        <v>45560</v>
      </c>
      <c r="B553">
        <v>2662</v>
      </c>
      <c r="C553">
        <v>2541.75</v>
      </c>
    </row>
    <row r="554" spans="1:3" x14ac:dyDescent="0.2">
      <c r="A554" s="2">
        <v>45561</v>
      </c>
      <c r="B554">
        <v>2653.1</v>
      </c>
      <c r="C554">
        <v>2639.14</v>
      </c>
    </row>
    <row r="555" spans="1:3" x14ac:dyDescent="0.2">
      <c r="A555" s="2">
        <v>45562</v>
      </c>
      <c r="B555">
        <v>6427.59</v>
      </c>
      <c r="C555">
        <v>6272.3</v>
      </c>
    </row>
    <row r="556" spans="1:3" x14ac:dyDescent="0.2">
      <c r="A556" s="2">
        <v>45563</v>
      </c>
      <c r="B556">
        <v>9719.2000000000007</v>
      </c>
      <c r="C556">
        <v>9476.67</v>
      </c>
    </row>
    <row r="557" spans="1:3" x14ac:dyDescent="0.2">
      <c r="A557" s="2">
        <v>45564</v>
      </c>
      <c r="B557">
        <v>3263.45</v>
      </c>
      <c r="C557">
        <v>3233.91</v>
      </c>
    </row>
    <row r="558" spans="1:3" x14ac:dyDescent="0.2">
      <c r="A558" s="2">
        <v>45565</v>
      </c>
      <c r="B558">
        <v>2649.22</v>
      </c>
      <c r="C558">
        <v>2605.2199999999998</v>
      </c>
    </row>
    <row r="559" spans="1:3" x14ac:dyDescent="0.2">
      <c r="A559" s="2">
        <v>45566</v>
      </c>
      <c r="B559">
        <v>3197.97</v>
      </c>
      <c r="C559">
        <v>3174.1</v>
      </c>
    </row>
    <row r="560" spans="1:3" x14ac:dyDescent="0.2">
      <c r="A560" s="2">
        <v>45567</v>
      </c>
      <c r="B560">
        <v>2664.08</v>
      </c>
      <c r="C560">
        <v>2607.75</v>
      </c>
    </row>
    <row r="561" spans="1:3" x14ac:dyDescent="0.2">
      <c r="A561" s="2">
        <v>45568</v>
      </c>
      <c r="B561">
        <v>2515.6799999999998</v>
      </c>
      <c r="C561">
        <v>2395.1</v>
      </c>
    </row>
    <row r="562" spans="1:3" x14ac:dyDescent="0.2">
      <c r="A562" s="2">
        <v>45569</v>
      </c>
      <c r="B562">
        <v>6368.23</v>
      </c>
      <c r="C562">
        <v>6276.4</v>
      </c>
    </row>
    <row r="563" spans="1:3" x14ac:dyDescent="0.2">
      <c r="A563" s="2">
        <v>45570</v>
      </c>
      <c r="B563">
        <v>9477.8799999999992</v>
      </c>
      <c r="C563">
        <v>9333.3799999999992</v>
      </c>
    </row>
    <row r="564" spans="1:3" x14ac:dyDescent="0.2">
      <c r="A564" s="2">
        <v>45571</v>
      </c>
      <c r="B564">
        <v>3196.97</v>
      </c>
      <c r="C564">
        <v>2964.35</v>
      </c>
    </row>
    <row r="565" spans="1:3" x14ac:dyDescent="0.2">
      <c r="A565" s="2">
        <v>45572</v>
      </c>
      <c r="B565">
        <v>2284.3200000000002</v>
      </c>
      <c r="C565">
        <v>2260.65</v>
      </c>
    </row>
    <row r="566" spans="1:3" x14ac:dyDescent="0.2">
      <c r="A566" s="2">
        <v>45573</v>
      </c>
      <c r="B566">
        <v>2766.42</v>
      </c>
      <c r="C566">
        <v>2719.75</v>
      </c>
    </row>
    <row r="567" spans="1:3" x14ac:dyDescent="0.2">
      <c r="A567" s="2">
        <v>45574</v>
      </c>
      <c r="B567">
        <v>2129.89</v>
      </c>
      <c r="C567">
        <v>2098.7199999999998</v>
      </c>
    </row>
    <row r="568" spans="1:3" x14ac:dyDescent="0.2">
      <c r="A568" s="2">
        <v>45575</v>
      </c>
      <c r="B568">
        <v>2970.78</v>
      </c>
      <c r="C568">
        <v>2931.45</v>
      </c>
    </row>
    <row r="569" spans="1:3" x14ac:dyDescent="0.2">
      <c r="A569" s="2">
        <v>45576</v>
      </c>
      <c r="B569">
        <v>5749.18</v>
      </c>
      <c r="C569">
        <v>5587.92</v>
      </c>
    </row>
    <row r="570" spans="1:3" x14ac:dyDescent="0.2">
      <c r="A570" s="2">
        <v>45577</v>
      </c>
      <c r="B570">
        <v>9670.1</v>
      </c>
      <c r="C570">
        <v>9532.99</v>
      </c>
    </row>
    <row r="571" spans="1:3" x14ac:dyDescent="0.2">
      <c r="A571" s="2">
        <v>45578</v>
      </c>
      <c r="B571">
        <v>3673.66</v>
      </c>
      <c r="C571">
        <v>3647.2</v>
      </c>
    </row>
    <row r="572" spans="1:3" x14ac:dyDescent="0.2">
      <c r="A572" s="2">
        <v>45579</v>
      </c>
      <c r="B572">
        <v>3888.83</v>
      </c>
      <c r="C572">
        <v>3848.83</v>
      </c>
    </row>
    <row r="573" spans="1:3" x14ac:dyDescent="0.2">
      <c r="A573" s="2">
        <v>45580</v>
      </c>
      <c r="B573">
        <v>4467.2</v>
      </c>
      <c r="C573">
        <v>4396.74</v>
      </c>
    </row>
    <row r="574" spans="1:3" x14ac:dyDescent="0.2">
      <c r="A574" s="2">
        <v>45581</v>
      </c>
      <c r="B574">
        <v>4513.25</v>
      </c>
      <c r="C574">
        <v>4408.38</v>
      </c>
    </row>
    <row r="575" spans="1:3" x14ac:dyDescent="0.2">
      <c r="A575" s="2">
        <v>45582</v>
      </c>
      <c r="B575">
        <v>3559.44</v>
      </c>
      <c r="C575">
        <v>3523.07</v>
      </c>
    </row>
    <row r="576" spans="1:3" x14ac:dyDescent="0.2">
      <c r="A576" s="2">
        <v>45583</v>
      </c>
      <c r="B576">
        <v>6465.44</v>
      </c>
      <c r="C576">
        <v>6338.61</v>
      </c>
    </row>
    <row r="577" spans="1:3" x14ac:dyDescent="0.2">
      <c r="A577" s="2">
        <v>45584</v>
      </c>
      <c r="B577">
        <v>10508.63</v>
      </c>
      <c r="C577">
        <v>10287.09</v>
      </c>
    </row>
    <row r="578" spans="1:3" x14ac:dyDescent="0.2">
      <c r="A578" s="2">
        <v>45585</v>
      </c>
      <c r="B578">
        <v>5772.52</v>
      </c>
      <c r="C578">
        <v>5594.69</v>
      </c>
    </row>
    <row r="579" spans="1:3" x14ac:dyDescent="0.2">
      <c r="A579" s="2">
        <v>45586</v>
      </c>
      <c r="B579">
        <v>2995.48</v>
      </c>
      <c r="C579">
        <v>2950.15</v>
      </c>
    </row>
    <row r="580" spans="1:3" x14ac:dyDescent="0.2">
      <c r="A580" s="2">
        <v>45587</v>
      </c>
      <c r="B580">
        <v>4158.72</v>
      </c>
      <c r="C580">
        <v>4052.72</v>
      </c>
    </row>
    <row r="581" spans="1:3" x14ac:dyDescent="0.2">
      <c r="A581" s="2">
        <v>45588</v>
      </c>
      <c r="B581">
        <v>2801.54</v>
      </c>
      <c r="C581">
        <v>2751.79</v>
      </c>
    </row>
    <row r="582" spans="1:3" x14ac:dyDescent="0.2">
      <c r="A582" s="2">
        <v>45589</v>
      </c>
      <c r="B582">
        <v>3538.69</v>
      </c>
      <c r="C582">
        <v>3443.52</v>
      </c>
    </row>
    <row r="583" spans="1:3" x14ac:dyDescent="0.2">
      <c r="A583" s="2">
        <v>45590</v>
      </c>
      <c r="B583">
        <v>5705.72</v>
      </c>
      <c r="C583">
        <v>5630.35</v>
      </c>
    </row>
    <row r="584" spans="1:3" x14ac:dyDescent="0.2">
      <c r="A584" s="2">
        <v>45591</v>
      </c>
      <c r="B584">
        <v>10132.06</v>
      </c>
      <c r="C584">
        <v>9728.39</v>
      </c>
    </row>
    <row r="585" spans="1:3" x14ac:dyDescent="0.2">
      <c r="A585" s="2">
        <v>45592</v>
      </c>
      <c r="B585">
        <v>5822.89</v>
      </c>
      <c r="C585">
        <v>5775.35</v>
      </c>
    </row>
    <row r="586" spans="1:3" x14ac:dyDescent="0.2">
      <c r="A586" s="2">
        <v>45593</v>
      </c>
      <c r="B586">
        <v>4345.49</v>
      </c>
      <c r="C586">
        <v>4233.83</v>
      </c>
    </row>
    <row r="587" spans="1:3" x14ac:dyDescent="0.2">
      <c r="A587" s="2">
        <v>45594</v>
      </c>
      <c r="B587">
        <v>6106.41</v>
      </c>
      <c r="C587">
        <v>6036.79</v>
      </c>
    </row>
    <row r="588" spans="1:3" x14ac:dyDescent="0.2">
      <c r="A588" s="2">
        <v>45595</v>
      </c>
      <c r="B588">
        <v>4891.18</v>
      </c>
      <c r="C588">
        <v>4721.3900000000003</v>
      </c>
    </row>
    <row r="589" spans="1:3" x14ac:dyDescent="0.2">
      <c r="A589" s="2">
        <v>45596</v>
      </c>
      <c r="B589">
        <v>4669.05</v>
      </c>
      <c r="C589">
        <v>4385.3</v>
      </c>
    </row>
    <row r="590" spans="1:3" x14ac:dyDescent="0.2">
      <c r="A590" s="2">
        <v>45597</v>
      </c>
      <c r="B590">
        <v>7322.51</v>
      </c>
      <c r="C590">
        <v>7123.47</v>
      </c>
    </row>
    <row r="591" spans="1:3" x14ac:dyDescent="0.2">
      <c r="A591" s="2">
        <v>45598</v>
      </c>
      <c r="B591">
        <v>8728.26</v>
      </c>
      <c r="C591">
        <v>8529.01</v>
      </c>
    </row>
    <row r="592" spans="1:3" x14ac:dyDescent="0.2">
      <c r="A592" s="2">
        <v>45599</v>
      </c>
      <c r="B592">
        <v>3460.76</v>
      </c>
      <c r="C592">
        <v>3374.09</v>
      </c>
    </row>
    <row r="593" spans="1:3" x14ac:dyDescent="0.2">
      <c r="A593" s="2">
        <v>45600</v>
      </c>
      <c r="B593">
        <v>2303.5500000000002</v>
      </c>
      <c r="C593">
        <v>2277.2800000000002</v>
      </c>
    </row>
    <row r="594" spans="1:3" x14ac:dyDescent="0.2">
      <c r="A594" s="2">
        <v>45601</v>
      </c>
      <c r="B594">
        <v>2271.37</v>
      </c>
      <c r="C594">
        <v>2214.6</v>
      </c>
    </row>
    <row r="595" spans="1:3" x14ac:dyDescent="0.2">
      <c r="A595" s="2">
        <v>45602</v>
      </c>
      <c r="B595">
        <v>4310.9799999999996</v>
      </c>
      <c r="C595">
        <v>4215.9799999999996</v>
      </c>
    </row>
    <row r="596" spans="1:3" x14ac:dyDescent="0.2">
      <c r="A596" s="2">
        <v>45603</v>
      </c>
      <c r="B596">
        <v>3028.62</v>
      </c>
      <c r="C596">
        <v>3012.41</v>
      </c>
    </row>
    <row r="597" spans="1:3" x14ac:dyDescent="0.2">
      <c r="A597" s="2">
        <v>45604</v>
      </c>
      <c r="B597">
        <v>7431.51</v>
      </c>
      <c r="C597">
        <v>7273.89</v>
      </c>
    </row>
    <row r="598" spans="1:3" x14ac:dyDescent="0.2">
      <c r="A598" s="2">
        <v>45605</v>
      </c>
      <c r="B598">
        <v>10599.83</v>
      </c>
      <c r="C598">
        <v>10509.08</v>
      </c>
    </row>
    <row r="599" spans="1:3" x14ac:dyDescent="0.2">
      <c r="A599" s="2">
        <v>45606</v>
      </c>
      <c r="B599">
        <v>3624.96</v>
      </c>
      <c r="C599">
        <v>3454.25</v>
      </c>
    </row>
    <row r="600" spans="1:3" x14ac:dyDescent="0.2">
      <c r="A600" s="2">
        <v>45607</v>
      </c>
      <c r="B600">
        <v>2917.18</v>
      </c>
      <c r="C600">
        <v>2821.82</v>
      </c>
    </row>
    <row r="601" spans="1:3" x14ac:dyDescent="0.2">
      <c r="A601" s="2">
        <v>45608</v>
      </c>
      <c r="B601">
        <v>3897.8</v>
      </c>
      <c r="C601">
        <v>3763.22</v>
      </c>
    </row>
    <row r="602" spans="1:3" x14ac:dyDescent="0.2">
      <c r="A602" s="2">
        <v>45609</v>
      </c>
      <c r="B602">
        <v>3216.78</v>
      </c>
      <c r="C602">
        <v>3101.2</v>
      </c>
    </row>
    <row r="603" spans="1:3" x14ac:dyDescent="0.2">
      <c r="A603" s="2">
        <v>45610</v>
      </c>
      <c r="B603">
        <v>3054.94</v>
      </c>
      <c r="C603">
        <v>2929.02</v>
      </c>
    </row>
    <row r="604" spans="1:3" x14ac:dyDescent="0.2">
      <c r="A604" s="2">
        <v>45611</v>
      </c>
      <c r="B604">
        <v>8147</v>
      </c>
      <c r="C604">
        <v>7666.54</v>
      </c>
    </row>
    <row r="605" spans="1:3" x14ac:dyDescent="0.2">
      <c r="A605" s="2">
        <v>45612</v>
      </c>
      <c r="B605">
        <v>11596.84</v>
      </c>
      <c r="C605">
        <v>11430.84</v>
      </c>
    </row>
    <row r="606" spans="1:3" x14ac:dyDescent="0.2">
      <c r="A606" s="2">
        <v>45613</v>
      </c>
      <c r="B606">
        <v>5053.25</v>
      </c>
      <c r="C606">
        <v>4848.1400000000003</v>
      </c>
    </row>
    <row r="607" spans="1:3" x14ac:dyDescent="0.2">
      <c r="A607" s="2">
        <v>45614</v>
      </c>
      <c r="B607">
        <v>3083.69</v>
      </c>
      <c r="C607">
        <v>2981.23</v>
      </c>
    </row>
    <row r="608" spans="1:3" x14ac:dyDescent="0.2">
      <c r="A608" s="2">
        <v>45615</v>
      </c>
      <c r="B608">
        <v>2572.5500000000002</v>
      </c>
      <c r="C608">
        <v>2455.34</v>
      </c>
    </row>
    <row r="609" spans="1:3" x14ac:dyDescent="0.2">
      <c r="A609" s="2">
        <v>45616</v>
      </c>
      <c r="B609">
        <v>3990.03</v>
      </c>
      <c r="C609">
        <v>3801.46</v>
      </c>
    </row>
    <row r="610" spans="1:3" x14ac:dyDescent="0.2">
      <c r="A610" s="2">
        <v>45617</v>
      </c>
      <c r="B610">
        <v>2760.28</v>
      </c>
      <c r="C610">
        <v>2700.53</v>
      </c>
    </row>
    <row r="611" spans="1:3" x14ac:dyDescent="0.2">
      <c r="A611" s="2">
        <v>45618</v>
      </c>
      <c r="B611">
        <v>7471.23</v>
      </c>
      <c r="C611">
        <v>7239.53</v>
      </c>
    </row>
    <row r="612" spans="1:3" x14ac:dyDescent="0.2">
      <c r="A612" s="2">
        <v>45619</v>
      </c>
      <c r="B612">
        <v>12642.87</v>
      </c>
      <c r="C612">
        <v>12547.95</v>
      </c>
    </row>
    <row r="613" spans="1:3" x14ac:dyDescent="0.2">
      <c r="A613" s="2">
        <v>45620</v>
      </c>
      <c r="B613">
        <v>5381.03</v>
      </c>
      <c r="C613">
        <v>5070.24</v>
      </c>
    </row>
    <row r="614" spans="1:3" x14ac:dyDescent="0.2">
      <c r="A614" s="2">
        <v>45621</v>
      </c>
      <c r="B614">
        <v>2632.79</v>
      </c>
      <c r="C614">
        <v>2558.87</v>
      </c>
    </row>
    <row r="615" spans="1:3" x14ac:dyDescent="0.2">
      <c r="A615" s="2">
        <v>45622</v>
      </c>
      <c r="B615">
        <v>5719.05</v>
      </c>
      <c r="C615">
        <v>5659.34</v>
      </c>
    </row>
    <row r="616" spans="1:3" x14ac:dyDescent="0.2">
      <c r="A616" s="2">
        <v>45623</v>
      </c>
      <c r="B616">
        <v>3121.77</v>
      </c>
      <c r="C616">
        <v>3056.56</v>
      </c>
    </row>
    <row r="617" spans="1:3" x14ac:dyDescent="0.2">
      <c r="A617" s="2">
        <v>45624</v>
      </c>
      <c r="B617">
        <v>3517</v>
      </c>
      <c r="C617">
        <v>3407.75</v>
      </c>
    </row>
    <row r="618" spans="1:3" x14ac:dyDescent="0.2">
      <c r="A618" s="2">
        <v>45625</v>
      </c>
      <c r="B618">
        <v>7733.93</v>
      </c>
      <c r="C618">
        <v>7644.39</v>
      </c>
    </row>
    <row r="619" spans="1:3" x14ac:dyDescent="0.2">
      <c r="A619" s="2">
        <v>45626</v>
      </c>
      <c r="B619">
        <v>13780.9</v>
      </c>
      <c r="C619">
        <v>13516.19</v>
      </c>
    </row>
    <row r="620" spans="1:3" x14ac:dyDescent="0.2">
      <c r="A620" s="2">
        <v>45627</v>
      </c>
      <c r="B620">
        <v>6569.52</v>
      </c>
      <c r="C620">
        <v>6474.77</v>
      </c>
    </row>
    <row r="621" spans="1:3" x14ac:dyDescent="0.2">
      <c r="A621" s="2">
        <v>45628</v>
      </c>
      <c r="B621">
        <v>4296.63</v>
      </c>
      <c r="C621">
        <v>4234.55</v>
      </c>
    </row>
    <row r="622" spans="1:3" x14ac:dyDescent="0.2">
      <c r="A622" s="2">
        <v>45629</v>
      </c>
      <c r="B622">
        <v>4521.71</v>
      </c>
      <c r="C622">
        <v>4509.29</v>
      </c>
    </row>
    <row r="623" spans="1:3" x14ac:dyDescent="0.2">
      <c r="A623" s="2">
        <v>45630</v>
      </c>
      <c r="B623">
        <v>4920.3100000000004</v>
      </c>
      <c r="C623">
        <v>4820.0200000000004</v>
      </c>
    </row>
    <row r="624" spans="1:3" x14ac:dyDescent="0.2">
      <c r="A624" s="2">
        <v>45631</v>
      </c>
      <c r="B624">
        <v>5736.49</v>
      </c>
      <c r="C624">
        <v>5429.74</v>
      </c>
    </row>
    <row r="625" spans="1:3" x14ac:dyDescent="0.2">
      <c r="A625" s="2">
        <v>45632</v>
      </c>
      <c r="B625">
        <v>9287.64</v>
      </c>
      <c r="C625">
        <v>9044.98</v>
      </c>
    </row>
    <row r="626" spans="1:3" x14ac:dyDescent="0.2">
      <c r="A626" s="2">
        <v>45633</v>
      </c>
      <c r="B626">
        <v>12527.51</v>
      </c>
      <c r="C626">
        <v>12307.39</v>
      </c>
    </row>
    <row r="627" spans="1:3" x14ac:dyDescent="0.2">
      <c r="A627" s="2">
        <v>45634</v>
      </c>
      <c r="B627">
        <v>4761.96</v>
      </c>
      <c r="C627">
        <v>4550.92</v>
      </c>
    </row>
    <row r="628" spans="1:3" x14ac:dyDescent="0.2">
      <c r="A628" s="2">
        <v>45635</v>
      </c>
      <c r="B628">
        <v>5066.38</v>
      </c>
      <c r="C628">
        <v>4930.8100000000004</v>
      </c>
    </row>
    <row r="629" spans="1:3" x14ac:dyDescent="0.2">
      <c r="A629" s="2">
        <v>45636</v>
      </c>
      <c r="B629">
        <v>5959.52</v>
      </c>
      <c r="C629">
        <v>5888.25</v>
      </c>
    </row>
    <row r="630" spans="1:3" x14ac:dyDescent="0.2">
      <c r="A630" s="2">
        <v>45637</v>
      </c>
      <c r="B630">
        <v>6860.81</v>
      </c>
      <c r="C630">
        <v>6584.77</v>
      </c>
    </row>
    <row r="631" spans="1:3" x14ac:dyDescent="0.2">
      <c r="A631" s="2">
        <v>45638</v>
      </c>
      <c r="B631">
        <v>8895.33</v>
      </c>
      <c r="C631">
        <v>8746.16</v>
      </c>
    </row>
    <row r="632" spans="1:3" x14ac:dyDescent="0.2">
      <c r="A632" s="2">
        <v>45639</v>
      </c>
      <c r="B632">
        <v>9923.2800000000007</v>
      </c>
      <c r="C632">
        <v>9705.57</v>
      </c>
    </row>
    <row r="633" spans="1:3" x14ac:dyDescent="0.2">
      <c r="A633" s="2">
        <v>45640</v>
      </c>
      <c r="B633">
        <v>13331.58</v>
      </c>
      <c r="C633">
        <v>13261.66</v>
      </c>
    </row>
    <row r="634" spans="1:3" x14ac:dyDescent="0.2">
      <c r="A634" s="2">
        <v>45641</v>
      </c>
      <c r="B634">
        <v>5150.91</v>
      </c>
      <c r="C634">
        <v>5069.83</v>
      </c>
    </row>
    <row r="635" spans="1:3" x14ac:dyDescent="0.2">
      <c r="A635" s="2">
        <v>45642</v>
      </c>
      <c r="B635">
        <v>6532.03</v>
      </c>
      <c r="C635">
        <v>6446.74</v>
      </c>
    </row>
    <row r="636" spans="1:3" x14ac:dyDescent="0.2">
      <c r="A636" s="2">
        <v>45643</v>
      </c>
      <c r="B636">
        <v>4423</v>
      </c>
      <c r="C636">
        <v>4274.3599999999997</v>
      </c>
    </row>
    <row r="637" spans="1:3" x14ac:dyDescent="0.2">
      <c r="A637" s="2">
        <v>45644</v>
      </c>
      <c r="B637">
        <v>6386.35</v>
      </c>
      <c r="C637">
        <v>6266.78</v>
      </c>
    </row>
    <row r="638" spans="1:3" x14ac:dyDescent="0.2">
      <c r="A638" s="2">
        <v>45645</v>
      </c>
      <c r="B638">
        <v>6628.72</v>
      </c>
      <c r="C638">
        <v>6542.97</v>
      </c>
    </row>
    <row r="639" spans="1:3" x14ac:dyDescent="0.2">
      <c r="A639" s="2">
        <v>45646</v>
      </c>
      <c r="B639">
        <v>9316.92</v>
      </c>
      <c r="C639">
        <v>9105.58</v>
      </c>
    </row>
    <row r="640" spans="1:3" x14ac:dyDescent="0.2">
      <c r="A640" s="2">
        <v>45647</v>
      </c>
      <c r="B640">
        <v>10150.66</v>
      </c>
      <c r="C640">
        <v>10063.120000000001</v>
      </c>
    </row>
    <row r="641" spans="1:3" x14ac:dyDescent="0.2">
      <c r="A641" s="2">
        <v>45648</v>
      </c>
      <c r="B641">
        <v>6005.59</v>
      </c>
      <c r="C641">
        <v>5905.18</v>
      </c>
    </row>
    <row r="642" spans="1:3" x14ac:dyDescent="0.2">
      <c r="A642" s="2">
        <v>45649</v>
      </c>
      <c r="B642">
        <v>5660.84</v>
      </c>
      <c r="C642">
        <v>5515.95</v>
      </c>
    </row>
    <row r="643" spans="1:3" x14ac:dyDescent="0.2">
      <c r="A643" s="2">
        <v>45650</v>
      </c>
      <c r="B643">
        <v>5228.51</v>
      </c>
      <c r="C643">
        <v>5108.93</v>
      </c>
    </row>
    <row r="644" spans="1:3" x14ac:dyDescent="0.2">
      <c r="A644" s="2">
        <v>45653</v>
      </c>
      <c r="B644">
        <v>6524.93</v>
      </c>
      <c r="C644">
        <v>6380.92</v>
      </c>
    </row>
    <row r="645" spans="1:3" x14ac:dyDescent="0.2">
      <c r="A645" s="2">
        <v>45654</v>
      </c>
      <c r="B645">
        <v>9030.16</v>
      </c>
      <c r="C645">
        <v>8886.26</v>
      </c>
    </row>
    <row r="646" spans="1:3" x14ac:dyDescent="0.2">
      <c r="A646" s="2">
        <v>45655</v>
      </c>
      <c r="B646">
        <v>7651.04</v>
      </c>
      <c r="C646">
        <v>7502.92</v>
      </c>
    </row>
    <row r="647" spans="1:3" x14ac:dyDescent="0.2">
      <c r="A647" s="2">
        <v>45656</v>
      </c>
      <c r="B647">
        <v>7265.83</v>
      </c>
      <c r="C647">
        <v>7163.58</v>
      </c>
    </row>
    <row r="648" spans="1:3" x14ac:dyDescent="0.2">
      <c r="A648" s="2">
        <v>45657</v>
      </c>
      <c r="B648">
        <v>11380.15</v>
      </c>
      <c r="C648">
        <v>11284.04</v>
      </c>
    </row>
    <row r="649" spans="1:3" x14ac:dyDescent="0.2">
      <c r="A649" s="2">
        <v>45659</v>
      </c>
      <c r="B649">
        <v>4635.7</v>
      </c>
      <c r="C649">
        <v>4396.16</v>
      </c>
    </row>
    <row r="650" spans="1:3" x14ac:dyDescent="0.2">
      <c r="A650" s="2">
        <v>45660</v>
      </c>
      <c r="B650">
        <v>6332.92</v>
      </c>
      <c r="C650">
        <v>6084.73</v>
      </c>
    </row>
    <row r="651" spans="1:3" x14ac:dyDescent="0.2">
      <c r="A651" s="2">
        <v>45661</v>
      </c>
      <c r="B651">
        <v>5631.41</v>
      </c>
      <c r="C651">
        <v>5601.08</v>
      </c>
    </row>
    <row r="652" spans="1:3" x14ac:dyDescent="0.2">
      <c r="A652" s="2">
        <v>45662</v>
      </c>
      <c r="B652">
        <v>1612.18</v>
      </c>
      <c r="C652">
        <v>1569.06</v>
      </c>
    </row>
    <row r="653" spans="1:3" x14ac:dyDescent="0.2">
      <c r="A653" s="2">
        <v>45663</v>
      </c>
      <c r="B653">
        <v>2480.06</v>
      </c>
      <c r="C653">
        <v>2421.69</v>
      </c>
    </row>
    <row r="654" spans="1:3" x14ac:dyDescent="0.2">
      <c r="A654" s="2">
        <v>45664</v>
      </c>
      <c r="B654">
        <v>2046.38</v>
      </c>
      <c r="C654">
        <v>1951.59</v>
      </c>
    </row>
    <row r="655" spans="1:3" x14ac:dyDescent="0.2">
      <c r="A655" s="2">
        <v>45665</v>
      </c>
      <c r="B655">
        <v>2810.67</v>
      </c>
      <c r="C655">
        <v>2743.1</v>
      </c>
    </row>
    <row r="656" spans="1:3" x14ac:dyDescent="0.2">
      <c r="A656" s="2">
        <v>45666</v>
      </c>
      <c r="B656">
        <v>1940.08</v>
      </c>
      <c r="C656">
        <v>1896.96</v>
      </c>
    </row>
    <row r="657" spans="1:3" x14ac:dyDescent="0.2">
      <c r="A657" s="2">
        <v>45667</v>
      </c>
      <c r="B657">
        <v>5571.36</v>
      </c>
      <c r="C657">
        <v>5489.07</v>
      </c>
    </row>
    <row r="658" spans="1:3" x14ac:dyDescent="0.2">
      <c r="A658" s="2">
        <v>45668</v>
      </c>
      <c r="B658">
        <v>9320.7199999999993</v>
      </c>
      <c r="C658">
        <v>9231.5499999999993</v>
      </c>
    </row>
    <row r="659" spans="1:3" x14ac:dyDescent="0.2">
      <c r="A659" s="2">
        <v>45669</v>
      </c>
      <c r="B659">
        <v>3219.21</v>
      </c>
      <c r="C659">
        <v>3148.63</v>
      </c>
    </row>
    <row r="660" spans="1:3" x14ac:dyDescent="0.2">
      <c r="A660" s="2">
        <v>45674</v>
      </c>
      <c r="B660">
        <v>3480.77</v>
      </c>
      <c r="C660">
        <v>3422.44</v>
      </c>
    </row>
    <row r="661" spans="1:3" x14ac:dyDescent="0.2">
      <c r="A661" s="2">
        <v>45675</v>
      </c>
      <c r="B661">
        <v>11595.27</v>
      </c>
      <c r="C661">
        <v>11413.19</v>
      </c>
    </row>
    <row r="662" spans="1:3" x14ac:dyDescent="0.2">
      <c r="A662" s="2">
        <v>45676</v>
      </c>
      <c r="B662">
        <v>3804.23</v>
      </c>
      <c r="C662">
        <v>3697.05</v>
      </c>
    </row>
    <row r="663" spans="1:3" x14ac:dyDescent="0.2">
      <c r="A663" s="2">
        <v>45677</v>
      </c>
      <c r="B663">
        <v>2000.71</v>
      </c>
      <c r="C663">
        <v>1955.34</v>
      </c>
    </row>
    <row r="664" spans="1:3" x14ac:dyDescent="0.2">
      <c r="A664" s="2">
        <v>45678</v>
      </c>
      <c r="B664">
        <v>2636.96</v>
      </c>
      <c r="C664">
        <v>2527.4899999999998</v>
      </c>
    </row>
    <row r="665" spans="1:3" x14ac:dyDescent="0.2">
      <c r="A665" s="2">
        <v>45679</v>
      </c>
      <c r="B665">
        <v>4507.43</v>
      </c>
      <c r="C665">
        <v>4443.47</v>
      </c>
    </row>
    <row r="666" spans="1:3" x14ac:dyDescent="0.2">
      <c r="A666" s="2">
        <v>45680</v>
      </c>
      <c r="B666">
        <v>2889.26</v>
      </c>
      <c r="C666">
        <v>2806.05</v>
      </c>
    </row>
    <row r="667" spans="1:3" x14ac:dyDescent="0.2">
      <c r="A667" s="2">
        <v>45681</v>
      </c>
      <c r="B667">
        <v>4592.0200000000004</v>
      </c>
      <c r="C667">
        <v>4495.0600000000004</v>
      </c>
    </row>
    <row r="668" spans="1:3" x14ac:dyDescent="0.2">
      <c r="A668" s="2">
        <v>45682</v>
      </c>
      <c r="B668">
        <v>10038.370000000001</v>
      </c>
      <c r="C668">
        <v>9910.2900000000009</v>
      </c>
    </row>
    <row r="669" spans="1:3" x14ac:dyDescent="0.2">
      <c r="A669" s="2">
        <v>45683</v>
      </c>
      <c r="B669">
        <v>3598.53</v>
      </c>
      <c r="C669">
        <v>3465.46</v>
      </c>
    </row>
    <row r="670" spans="1:3" x14ac:dyDescent="0.2">
      <c r="A670" s="2">
        <v>45684</v>
      </c>
      <c r="B670">
        <v>2140.5500000000002</v>
      </c>
      <c r="C670">
        <v>2082.66</v>
      </c>
    </row>
    <row r="671" spans="1:3" x14ac:dyDescent="0.2">
      <c r="A671" s="2">
        <v>45685</v>
      </c>
      <c r="B671">
        <v>2800.03</v>
      </c>
      <c r="C671">
        <v>2752.99</v>
      </c>
    </row>
    <row r="672" spans="1:3" x14ac:dyDescent="0.2">
      <c r="A672" s="2">
        <v>45686</v>
      </c>
      <c r="B672">
        <v>2948.32</v>
      </c>
      <c r="C672">
        <v>2890.15</v>
      </c>
    </row>
    <row r="673" spans="1:3" x14ac:dyDescent="0.2">
      <c r="A673" s="2">
        <v>45687</v>
      </c>
      <c r="B673">
        <v>4260.59</v>
      </c>
      <c r="C673">
        <v>4137.47</v>
      </c>
    </row>
    <row r="674" spans="1:3" x14ac:dyDescent="0.2">
      <c r="A674" s="2">
        <v>45688</v>
      </c>
      <c r="B674">
        <v>6833.74</v>
      </c>
      <c r="C674">
        <v>6749.07</v>
      </c>
    </row>
    <row r="675" spans="1:3" x14ac:dyDescent="0.2">
      <c r="A675" s="2">
        <v>45689</v>
      </c>
      <c r="B675">
        <v>13230.25</v>
      </c>
      <c r="C675">
        <v>13028.04</v>
      </c>
    </row>
    <row r="676" spans="1:3" x14ac:dyDescent="0.2">
      <c r="A676" s="2">
        <v>45690</v>
      </c>
      <c r="B676">
        <v>4706.8900000000003</v>
      </c>
      <c r="C676">
        <v>4610.33</v>
      </c>
    </row>
    <row r="677" spans="1:3" x14ac:dyDescent="0.2">
      <c r="A677" s="2">
        <v>45691</v>
      </c>
      <c r="B677">
        <v>3217.39</v>
      </c>
      <c r="C677">
        <v>3071.93</v>
      </c>
    </row>
    <row r="678" spans="1:3" x14ac:dyDescent="0.2">
      <c r="A678" s="2">
        <v>45692</v>
      </c>
      <c r="B678">
        <v>1745.23</v>
      </c>
      <c r="C678">
        <v>1668.03</v>
      </c>
    </row>
    <row r="679" spans="1:3" x14ac:dyDescent="0.2">
      <c r="A679" s="2">
        <v>45693</v>
      </c>
      <c r="B679">
        <v>2941.74</v>
      </c>
      <c r="C679">
        <v>2832.7</v>
      </c>
    </row>
    <row r="680" spans="1:3" x14ac:dyDescent="0.2">
      <c r="A680" s="2">
        <v>45694</v>
      </c>
      <c r="B680">
        <v>1967.98</v>
      </c>
      <c r="C680">
        <v>1888.54</v>
      </c>
    </row>
    <row r="681" spans="1:3" x14ac:dyDescent="0.2">
      <c r="A681" s="2">
        <v>45695</v>
      </c>
      <c r="B681">
        <v>6123.41</v>
      </c>
      <c r="C681">
        <v>6031.62</v>
      </c>
    </row>
    <row r="682" spans="1:3" x14ac:dyDescent="0.2">
      <c r="A682" s="2">
        <v>45696</v>
      </c>
      <c r="B682">
        <v>10662.76</v>
      </c>
      <c r="C682">
        <v>10616.19</v>
      </c>
    </row>
    <row r="683" spans="1:3" x14ac:dyDescent="0.2">
      <c r="A683" s="2">
        <v>45697</v>
      </c>
      <c r="B683">
        <v>4300.3900000000003</v>
      </c>
      <c r="C683">
        <v>4215.09</v>
      </c>
    </row>
    <row r="684" spans="1:3" x14ac:dyDescent="0.2">
      <c r="A684" s="2">
        <v>45698</v>
      </c>
      <c r="B684">
        <v>2439.1</v>
      </c>
      <c r="C684">
        <v>2314.39</v>
      </c>
    </row>
    <row r="685" spans="1:3" x14ac:dyDescent="0.2">
      <c r="A685" s="2">
        <v>45699</v>
      </c>
      <c r="B685">
        <v>2475.52</v>
      </c>
      <c r="C685">
        <v>2445.9499999999998</v>
      </c>
    </row>
    <row r="686" spans="1:3" x14ac:dyDescent="0.2">
      <c r="A686" s="2">
        <v>45700</v>
      </c>
      <c r="B686">
        <v>3091.27</v>
      </c>
      <c r="C686">
        <v>3035.27</v>
      </c>
    </row>
    <row r="687" spans="1:3" x14ac:dyDescent="0.2">
      <c r="A687" s="2">
        <v>45701</v>
      </c>
      <c r="B687">
        <v>3203.77</v>
      </c>
      <c r="C687">
        <v>3176.69</v>
      </c>
    </row>
    <row r="688" spans="1:3" x14ac:dyDescent="0.2">
      <c r="A688" s="2">
        <v>45702</v>
      </c>
      <c r="B688">
        <v>8567.93</v>
      </c>
      <c r="C688">
        <v>8378.2199999999993</v>
      </c>
    </row>
    <row r="689" spans="1:3" x14ac:dyDescent="0.2">
      <c r="A689" s="2">
        <v>45703</v>
      </c>
      <c r="B689">
        <v>12250.01</v>
      </c>
      <c r="C689">
        <v>12199.3</v>
      </c>
    </row>
    <row r="690" spans="1:3" x14ac:dyDescent="0.2">
      <c r="A690" s="2">
        <v>45704</v>
      </c>
      <c r="B690">
        <v>7081.91</v>
      </c>
      <c r="C690">
        <v>7002.49</v>
      </c>
    </row>
    <row r="691" spans="1:3" x14ac:dyDescent="0.2">
      <c r="A691" s="2">
        <v>45705</v>
      </c>
      <c r="B691">
        <v>4731.7700000000004</v>
      </c>
      <c r="C691">
        <v>4653.3999999999996</v>
      </c>
    </row>
    <row r="692" spans="1:3" x14ac:dyDescent="0.2">
      <c r="A692" s="2">
        <v>45706</v>
      </c>
      <c r="B692">
        <v>4273.67</v>
      </c>
      <c r="C692">
        <v>4199.3</v>
      </c>
    </row>
    <row r="693" spans="1:3" x14ac:dyDescent="0.2">
      <c r="A693" s="2">
        <v>45707</v>
      </c>
      <c r="B693">
        <v>5182.8</v>
      </c>
      <c r="C693">
        <v>5097.0600000000004</v>
      </c>
    </row>
    <row r="694" spans="1:3" x14ac:dyDescent="0.2">
      <c r="A694" s="2">
        <v>45708</v>
      </c>
      <c r="B694">
        <v>5417.91</v>
      </c>
      <c r="C694">
        <v>5343.45</v>
      </c>
    </row>
    <row r="695" spans="1:3" x14ac:dyDescent="0.2">
      <c r="A695" s="2">
        <v>45709</v>
      </c>
      <c r="B695">
        <v>7836.31</v>
      </c>
      <c r="C695">
        <v>7729.6</v>
      </c>
    </row>
    <row r="696" spans="1:3" x14ac:dyDescent="0.2">
      <c r="A696" s="2">
        <v>45710</v>
      </c>
      <c r="B696">
        <v>11440.98</v>
      </c>
      <c r="C696">
        <v>11212.05</v>
      </c>
    </row>
    <row r="697" spans="1:3" x14ac:dyDescent="0.2">
      <c r="A697" s="2">
        <v>45711</v>
      </c>
      <c r="B697">
        <v>3590.39</v>
      </c>
      <c r="C697">
        <v>3465.36</v>
      </c>
    </row>
    <row r="698" spans="1:3" x14ac:dyDescent="0.2">
      <c r="A698" s="2">
        <v>45712</v>
      </c>
      <c r="B698">
        <v>2641.92</v>
      </c>
      <c r="C698">
        <v>2587.29</v>
      </c>
    </row>
    <row r="699" spans="1:3" x14ac:dyDescent="0.2">
      <c r="A699" s="2">
        <v>45713</v>
      </c>
      <c r="B699">
        <v>4279.83</v>
      </c>
      <c r="C699">
        <v>4228.91</v>
      </c>
    </row>
    <row r="700" spans="1:3" x14ac:dyDescent="0.2">
      <c r="A700" s="2">
        <v>45714</v>
      </c>
      <c r="B700">
        <v>2649.81</v>
      </c>
      <c r="C700">
        <v>2604.89</v>
      </c>
    </row>
    <row r="701" spans="1:3" x14ac:dyDescent="0.2">
      <c r="A701" s="2">
        <v>45715</v>
      </c>
      <c r="B701">
        <v>3329.67</v>
      </c>
      <c r="C701">
        <v>3228.09</v>
      </c>
    </row>
    <row r="702" spans="1:3" x14ac:dyDescent="0.2">
      <c r="A702" s="2">
        <v>45716</v>
      </c>
      <c r="B702">
        <v>7147.18</v>
      </c>
      <c r="C702">
        <v>7086.89</v>
      </c>
    </row>
    <row r="703" spans="1:3" x14ac:dyDescent="0.2">
      <c r="A703" s="2">
        <v>45717</v>
      </c>
      <c r="B703">
        <v>12526.93</v>
      </c>
      <c r="C703">
        <v>12469.24</v>
      </c>
    </row>
    <row r="704" spans="1:3" x14ac:dyDescent="0.2">
      <c r="A704" s="2">
        <v>45718</v>
      </c>
      <c r="B704">
        <v>3308.24</v>
      </c>
      <c r="C704">
        <v>3202.45</v>
      </c>
    </row>
    <row r="705" spans="1:3" x14ac:dyDescent="0.2">
      <c r="A705" s="2">
        <v>45719</v>
      </c>
      <c r="B705">
        <v>1772.45</v>
      </c>
      <c r="C705">
        <v>1722.37</v>
      </c>
    </row>
    <row r="706" spans="1:3" x14ac:dyDescent="0.2">
      <c r="A706" s="2">
        <v>45720</v>
      </c>
      <c r="B706">
        <v>1805.24</v>
      </c>
      <c r="C706">
        <v>1683.12</v>
      </c>
    </row>
    <row r="707" spans="1:3" x14ac:dyDescent="0.2">
      <c r="A707" s="2">
        <v>45721</v>
      </c>
      <c r="B707">
        <v>2529.48</v>
      </c>
      <c r="C707">
        <v>2477.69</v>
      </c>
    </row>
    <row r="708" spans="1:3" x14ac:dyDescent="0.2">
      <c r="A708" s="2">
        <v>45722</v>
      </c>
      <c r="B708">
        <v>2297.5300000000002</v>
      </c>
      <c r="C708">
        <v>2241.84</v>
      </c>
    </row>
    <row r="709" spans="1:3" x14ac:dyDescent="0.2">
      <c r="A709" s="2">
        <v>45723</v>
      </c>
      <c r="B709">
        <v>6678.05</v>
      </c>
      <c r="C709">
        <v>6632.18</v>
      </c>
    </row>
    <row r="710" spans="1:3" x14ac:dyDescent="0.2">
      <c r="A710" s="2">
        <v>45724</v>
      </c>
      <c r="B710">
        <v>10416.84</v>
      </c>
      <c r="C710">
        <v>10108.629999999999</v>
      </c>
    </row>
    <row r="711" spans="1:3" x14ac:dyDescent="0.2">
      <c r="A711" s="2">
        <v>45725</v>
      </c>
      <c r="B711">
        <v>3152.7</v>
      </c>
      <c r="C711">
        <v>3119.95</v>
      </c>
    </row>
    <row r="712" spans="1:3" x14ac:dyDescent="0.2">
      <c r="A712" s="2">
        <v>45726</v>
      </c>
      <c r="B712">
        <v>2075.84</v>
      </c>
      <c r="C712">
        <v>2050.7199999999998</v>
      </c>
    </row>
    <row r="713" spans="1:3" x14ac:dyDescent="0.2">
      <c r="A713" s="2">
        <v>45727</v>
      </c>
      <c r="B713">
        <v>3580.99</v>
      </c>
      <c r="C713">
        <v>3533.95</v>
      </c>
    </row>
    <row r="714" spans="1:3" x14ac:dyDescent="0.2">
      <c r="A714" s="2">
        <v>45728</v>
      </c>
      <c r="B714">
        <v>4953.05</v>
      </c>
      <c r="C714">
        <v>4853.59</v>
      </c>
    </row>
    <row r="715" spans="1:3" x14ac:dyDescent="0.2">
      <c r="A715" s="2">
        <v>45729</v>
      </c>
      <c r="B715">
        <v>5352.97</v>
      </c>
      <c r="C715">
        <v>5249.6</v>
      </c>
    </row>
    <row r="716" spans="1:3" x14ac:dyDescent="0.2">
      <c r="A716" s="2">
        <v>45730</v>
      </c>
      <c r="B716">
        <v>7102.45</v>
      </c>
      <c r="C716">
        <v>6960.03</v>
      </c>
    </row>
    <row r="717" spans="1:3" x14ac:dyDescent="0.2">
      <c r="A717" s="2">
        <v>45731</v>
      </c>
      <c r="B717">
        <v>11117.5</v>
      </c>
      <c r="C717">
        <v>11016.79</v>
      </c>
    </row>
    <row r="718" spans="1:3" x14ac:dyDescent="0.2">
      <c r="A718" s="2">
        <v>45732</v>
      </c>
      <c r="B718">
        <v>4404.2700000000004</v>
      </c>
      <c r="C718">
        <v>4274.9799999999996</v>
      </c>
    </row>
    <row r="719" spans="1:3" x14ac:dyDescent="0.2">
      <c r="A719" s="2">
        <v>45733</v>
      </c>
      <c r="B719">
        <v>3260.73</v>
      </c>
      <c r="C719">
        <v>3200.69</v>
      </c>
    </row>
    <row r="720" spans="1:3" x14ac:dyDescent="0.2">
      <c r="A720" s="2">
        <v>45734</v>
      </c>
      <c r="B720">
        <v>7674.68</v>
      </c>
      <c r="C720">
        <v>7506.72</v>
      </c>
    </row>
    <row r="721" spans="1:3" x14ac:dyDescent="0.2">
      <c r="A721" s="2">
        <v>45736</v>
      </c>
      <c r="B721">
        <v>5226.54</v>
      </c>
      <c r="C721">
        <v>5123.5</v>
      </c>
    </row>
    <row r="722" spans="1:3" x14ac:dyDescent="0.2">
      <c r="A722" s="2">
        <v>45737</v>
      </c>
      <c r="B722">
        <v>6609.7</v>
      </c>
      <c r="C722">
        <v>6519.58</v>
      </c>
    </row>
    <row r="723" spans="1:3" x14ac:dyDescent="0.2">
      <c r="A723" s="2">
        <v>45738</v>
      </c>
      <c r="B723">
        <v>10685.9</v>
      </c>
      <c r="C723">
        <v>10556.59</v>
      </c>
    </row>
    <row r="724" spans="1:3" x14ac:dyDescent="0.2">
      <c r="A724" s="2">
        <v>45739</v>
      </c>
      <c r="B724">
        <v>5257.63</v>
      </c>
      <c r="C724">
        <v>5156.05</v>
      </c>
    </row>
    <row r="725" spans="1:3" x14ac:dyDescent="0.2">
      <c r="A725" s="2">
        <v>45740</v>
      </c>
      <c r="B725">
        <v>2576.41</v>
      </c>
      <c r="C725">
        <v>2523.41</v>
      </c>
    </row>
    <row r="726" spans="1:3" x14ac:dyDescent="0.2">
      <c r="A726" s="2">
        <v>45741</v>
      </c>
      <c r="B726">
        <v>3345.68</v>
      </c>
      <c r="C726">
        <v>3334.1</v>
      </c>
    </row>
    <row r="727" spans="1:3" x14ac:dyDescent="0.2">
      <c r="A727" s="2">
        <v>45742</v>
      </c>
      <c r="B727">
        <v>3893.37</v>
      </c>
      <c r="C727">
        <v>3799.95</v>
      </c>
    </row>
    <row r="728" spans="1:3" x14ac:dyDescent="0.2">
      <c r="A728" s="2">
        <v>45743</v>
      </c>
      <c r="B728">
        <v>4127.75</v>
      </c>
      <c r="C728">
        <v>4058.75</v>
      </c>
    </row>
    <row r="729" spans="1:3" x14ac:dyDescent="0.2">
      <c r="A729" s="2">
        <v>45744</v>
      </c>
      <c r="B729">
        <v>6402.38</v>
      </c>
      <c r="C729">
        <v>6308.05</v>
      </c>
    </row>
    <row r="730" spans="1:3" x14ac:dyDescent="0.2">
      <c r="A730" s="2">
        <v>45745</v>
      </c>
      <c r="B730">
        <v>11399.36</v>
      </c>
      <c r="C730">
        <v>11115.96</v>
      </c>
    </row>
    <row r="731" spans="1:3" x14ac:dyDescent="0.2">
      <c r="A731" s="2">
        <v>45746</v>
      </c>
      <c r="B731">
        <v>7682.52</v>
      </c>
      <c r="C731">
        <v>7542.45</v>
      </c>
    </row>
    <row r="732" spans="1:3" x14ac:dyDescent="0.2">
      <c r="A732" s="2">
        <v>45747</v>
      </c>
      <c r="B732">
        <v>2443.6</v>
      </c>
      <c r="C732">
        <v>2405.35</v>
      </c>
    </row>
    <row r="733" spans="1:3" x14ac:dyDescent="0.2">
      <c r="A733" s="2">
        <v>45748</v>
      </c>
      <c r="B733">
        <v>3830.01</v>
      </c>
      <c r="C733">
        <v>3705.46</v>
      </c>
    </row>
    <row r="734" spans="1:3" x14ac:dyDescent="0.2">
      <c r="A734" s="2">
        <v>45749</v>
      </c>
      <c r="B734">
        <v>3796.19</v>
      </c>
      <c r="C734">
        <v>3722.67</v>
      </c>
    </row>
    <row r="735" spans="1:3" x14ac:dyDescent="0.2">
      <c r="A735" s="2">
        <v>45750</v>
      </c>
      <c r="B735">
        <v>3331</v>
      </c>
      <c r="C735">
        <v>3264</v>
      </c>
    </row>
    <row r="736" spans="1:3" x14ac:dyDescent="0.2">
      <c r="A736" s="2">
        <v>45751</v>
      </c>
      <c r="B736">
        <v>6457.86</v>
      </c>
      <c r="C736">
        <v>6387.65</v>
      </c>
    </row>
    <row r="737" spans="1:3" x14ac:dyDescent="0.2">
      <c r="A737" s="2">
        <v>45752</v>
      </c>
      <c r="B737">
        <v>10893.31</v>
      </c>
      <c r="C737">
        <v>10814.48</v>
      </c>
    </row>
    <row r="738" spans="1:3" x14ac:dyDescent="0.2">
      <c r="A738" s="2">
        <v>45753</v>
      </c>
      <c r="B738">
        <v>4675.0600000000004</v>
      </c>
      <c r="C738">
        <v>4587.41</v>
      </c>
    </row>
    <row r="739" spans="1:3" x14ac:dyDescent="0.2">
      <c r="A739" s="2">
        <v>45754</v>
      </c>
      <c r="B739">
        <v>3028.37</v>
      </c>
      <c r="C739">
        <v>2974.15</v>
      </c>
    </row>
    <row r="740" spans="1:3" x14ac:dyDescent="0.2">
      <c r="A740" s="2">
        <v>45755</v>
      </c>
      <c r="B740">
        <v>4174.5200000000004</v>
      </c>
      <c r="C740">
        <v>4105.8599999999997</v>
      </c>
    </row>
    <row r="741" spans="1:3" x14ac:dyDescent="0.2">
      <c r="A741" s="2">
        <v>45756</v>
      </c>
      <c r="B741">
        <v>2917.64</v>
      </c>
      <c r="C741">
        <v>2879.56</v>
      </c>
    </row>
    <row r="742" spans="1:3" x14ac:dyDescent="0.2">
      <c r="A742" s="2">
        <v>45757</v>
      </c>
      <c r="B742">
        <v>3161.73</v>
      </c>
      <c r="C742">
        <v>3130.98</v>
      </c>
    </row>
    <row r="743" spans="1:3" x14ac:dyDescent="0.2">
      <c r="A743" s="2">
        <v>45758</v>
      </c>
      <c r="B743">
        <v>5601.23</v>
      </c>
      <c r="C743">
        <v>5542.52</v>
      </c>
    </row>
    <row r="744" spans="1:3" x14ac:dyDescent="0.2">
      <c r="A744" s="2">
        <v>45759</v>
      </c>
      <c r="B744">
        <v>9008.16</v>
      </c>
      <c r="C744">
        <v>8751.7000000000007</v>
      </c>
    </row>
    <row r="745" spans="1:3" x14ac:dyDescent="0.2">
      <c r="A745" s="2">
        <v>45760</v>
      </c>
      <c r="B745">
        <v>3316.51</v>
      </c>
      <c r="C745">
        <v>3286.06</v>
      </c>
    </row>
    <row r="746" spans="1:3" x14ac:dyDescent="0.2">
      <c r="A746" s="2">
        <v>45761</v>
      </c>
      <c r="B746">
        <v>3398.6</v>
      </c>
      <c r="C746">
        <v>3319.67</v>
      </c>
    </row>
    <row r="747" spans="1:3" x14ac:dyDescent="0.2">
      <c r="A747" s="2">
        <v>45762</v>
      </c>
      <c r="B747">
        <v>3000.44</v>
      </c>
      <c r="C747">
        <v>2938.79</v>
      </c>
    </row>
    <row r="748" spans="1:3" x14ac:dyDescent="0.2">
      <c r="A748" s="2">
        <v>45763</v>
      </c>
      <c r="B748">
        <v>4494.67</v>
      </c>
      <c r="C748">
        <v>4385.1000000000004</v>
      </c>
    </row>
    <row r="749" spans="1:3" x14ac:dyDescent="0.2">
      <c r="A749" s="2">
        <v>45764</v>
      </c>
      <c r="B749">
        <v>6319.99</v>
      </c>
      <c r="C749">
        <v>6217.32</v>
      </c>
    </row>
    <row r="750" spans="1:3" x14ac:dyDescent="0.2">
      <c r="A750" s="2">
        <v>45765</v>
      </c>
      <c r="B750">
        <v>7627.05</v>
      </c>
      <c r="C750">
        <v>7336.11</v>
      </c>
    </row>
    <row r="751" spans="1:3" x14ac:dyDescent="0.2">
      <c r="A751" s="2">
        <v>45766</v>
      </c>
      <c r="B751">
        <v>11473.69</v>
      </c>
      <c r="C751">
        <v>11366.96</v>
      </c>
    </row>
    <row r="752" spans="1:3" x14ac:dyDescent="0.2">
      <c r="A752" s="2">
        <v>45767</v>
      </c>
      <c r="B752">
        <v>3499.5</v>
      </c>
      <c r="C752">
        <v>3461.17</v>
      </c>
    </row>
    <row r="753" spans="1:3" x14ac:dyDescent="0.2">
      <c r="A753" s="2">
        <v>45768</v>
      </c>
      <c r="B753">
        <v>3045.15</v>
      </c>
      <c r="C753">
        <v>2941.87</v>
      </c>
    </row>
    <row r="754" spans="1:3" x14ac:dyDescent="0.2">
      <c r="A754" s="2">
        <v>45769</v>
      </c>
      <c r="B754">
        <v>3517.06</v>
      </c>
      <c r="C754">
        <v>3393.39</v>
      </c>
    </row>
    <row r="755" spans="1:3" x14ac:dyDescent="0.2">
      <c r="A755" s="2">
        <v>45770</v>
      </c>
      <c r="B755">
        <v>2592.06</v>
      </c>
      <c r="C755">
        <v>2545.73</v>
      </c>
    </row>
    <row r="756" spans="1:3" x14ac:dyDescent="0.2">
      <c r="A756" s="2">
        <v>45771</v>
      </c>
      <c r="B756">
        <v>3659.22</v>
      </c>
      <c r="C756">
        <v>3623.35</v>
      </c>
    </row>
    <row r="757" spans="1:3" x14ac:dyDescent="0.2">
      <c r="A757" s="2">
        <v>45772</v>
      </c>
      <c r="B757">
        <v>5936.36</v>
      </c>
      <c r="C757">
        <v>5829.9</v>
      </c>
    </row>
    <row r="758" spans="1:3" x14ac:dyDescent="0.2">
      <c r="A758" s="2">
        <v>45773</v>
      </c>
      <c r="B758">
        <v>10281.61</v>
      </c>
      <c r="C758">
        <v>10213.99</v>
      </c>
    </row>
    <row r="759" spans="1:3" x14ac:dyDescent="0.2">
      <c r="A759" s="2">
        <v>45774</v>
      </c>
      <c r="B759">
        <v>2571.35</v>
      </c>
      <c r="C759">
        <v>2483.02</v>
      </c>
    </row>
    <row r="760" spans="1:3" x14ac:dyDescent="0.2">
      <c r="A760" s="2">
        <v>45775</v>
      </c>
      <c r="B760">
        <v>3583.9</v>
      </c>
      <c r="C760">
        <v>3544.86</v>
      </c>
    </row>
    <row r="761" spans="1:3" x14ac:dyDescent="0.2">
      <c r="A761" s="2">
        <v>45776</v>
      </c>
      <c r="B761">
        <v>3296.63</v>
      </c>
      <c r="C761">
        <v>3231.84</v>
      </c>
    </row>
    <row r="762" spans="1:3" x14ac:dyDescent="0.2">
      <c r="A762" s="2">
        <v>45777</v>
      </c>
      <c r="B762">
        <v>1884.57</v>
      </c>
      <c r="C762">
        <v>1873.36</v>
      </c>
    </row>
    <row r="763" spans="1:3" x14ac:dyDescent="0.2">
      <c r="A763" s="2">
        <v>45778</v>
      </c>
      <c r="B763">
        <v>3766.38</v>
      </c>
      <c r="C763">
        <v>3650.38</v>
      </c>
    </row>
    <row r="764" spans="1:3" x14ac:dyDescent="0.2">
      <c r="A764" s="2">
        <v>45779</v>
      </c>
      <c r="B764">
        <v>4555.84</v>
      </c>
      <c r="C764">
        <v>4513.42</v>
      </c>
    </row>
    <row r="765" spans="1:3" x14ac:dyDescent="0.2">
      <c r="A765" s="2">
        <v>45780</v>
      </c>
      <c r="B765">
        <v>12311.38</v>
      </c>
      <c r="C765">
        <v>12078.84</v>
      </c>
    </row>
    <row r="766" spans="1:3" x14ac:dyDescent="0.2">
      <c r="A766" s="2">
        <v>45781</v>
      </c>
      <c r="B766">
        <v>8720.2999999999993</v>
      </c>
      <c r="C766">
        <v>8513.7800000000007</v>
      </c>
    </row>
    <row r="767" spans="1:3" x14ac:dyDescent="0.2">
      <c r="A767" s="2">
        <v>45782</v>
      </c>
      <c r="B767">
        <v>4610.3599999999997</v>
      </c>
      <c r="C767">
        <v>4429.8599999999997</v>
      </c>
    </row>
    <row r="768" spans="1:3" x14ac:dyDescent="0.2">
      <c r="A768" s="2">
        <v>45783</v>
      </c>
      <c r="B768">
        <v>3917.65</v>
      </c>
      <c r="C768">
        <v>3831.86</v>
      </c>
    </row>
    <row r="769" spans="1:3" x14ac:dyDescent="0.2">
      <c r="A769" s="2">
        <v>45784</v>
      </c>
      <c r="B769">
        <v>3890.86</v>
      </c>
      <c r="C769">
        <v>3846.86</v>
      </c>
    </row>
    <row r="770" spans="1:3" x14ac:dyDescent="0.2">
      <c r="A770" s="2">
        <v>45785</v>
      </c>
      <c r="B770">
        <v>3476.04</v>
      </c>
      <c r="C770">
        <v>3427.5</v>
      </c>
    </row>
    <row r="771" spans="1:3" x14ac:dyDescent="0.2">
      <c r="A771" s="2">
        <v>45786</v>
      </c>
      <c r="B771">
        <v>5673.45</v>
      </c>
      <c r="C771">
        <v>5604.91</v>
      </c>
    </row>
    <row r="772" spans="1:3" x14ac:dyDescent="0.2">
      <c r="A772" s="2">
        <v>45787</v>
      </c>
      <c r="B772">
        <v>9492.1200000000008</v>
      </c>
      <c r="C772">
        <v>9311.6</v>
      </c>
    </row>
    <row r="773" spans="1:3" x14ac:dyDescent="0.2">
      <c r="A773" s="2">
        <v>45788</v>
      </c>
      <c r="B773">
        <v>3441.98</v>
      </c>
      <c r="C773">
        <v>3390.48</v>
      </c>
    </row>
    <row r="774" spans="1:3" x14ac:dyDescent="0.2">
      <c r="A774" s="2">
        <v>45789</v>
      </c>
      <c r="B774">
        <v>2978.17</v>
      </c>
      <c r="C774">
        <v>2933.21</v>
      </c>
    </row>
    <row r="775" spans="1:3" x14ac:dyDescent="0.2">
      <c r="A775" s="2">
        <v>45790</v>
      </c>
      <c r="B775">
        <v>2584.11</v>
      </c>
      <c r="C775">
        <v>2536.66</v>
      </c>
    </row>
    <row r="776" spans="1:3" x14ac:dyDescent="0.2">
      <c r="A776" s="2">
        <v>45791</v>
      </c>
      <c r="B776">
        <v>3914.04</v>
      </c>
      <c r="C776">
        <v>3855.79</v>
      </c>
    </row>
    <row r="777" spans="1:3" x14ac:dyDescent="0.2">
      <c r="A777" s="2">
        <v>45792</v>
      </c>
      <c r="B777">
        <v>3385.66</v>
      </c>
      <c r="C777">
        <v>3356.7</v>
      </c>
    </row>
    <row r="778" spans="1:3" x14ac:dyDescent="0.2">
      <c r="A778" s="2">
        <v>45793</v>
      </c>
      <c r="B778">
        <v>4041.62</v>
      </c>
      <c r="C778">
        <v>3974.29</v>
      </c>
    </row>
    <row r="779" spans="1:3" x14ac:dyDescent="0.2">
      <c r="A779" s="2">
        <v>45794</v>
      </c>
      <c r="B779">
        <v>10043.219999999999</v>
      </c>
      <c r="C779">
        <v>9839.9699999999993</v>
      </c>
    </row>
    <row r="780" spans="1:3" x14ac:dyDescent="0.2">
      <c r="A780" s="2">
        <v>45795</v>
      </c>
      <c r="B780">
        <v>4454.16</v>
      </c>
      <c r="C780">
        <v>4352.42</v>
      </c>
    </row>
    <row r="781" spans="1:3" x14ac:dyDescent="0.2">
      <c r="A781" s="2">
        <v>45796</v>
      </c>
      <c r="B781">
        <v>2061.92</v>
      </c>
      <c r="C781">
        <v>1962</v>
      </c>
    </row>
    <row r="782" spans="1:3" x14ac:dyDescent="0.2">
      <c r="A782" s="2">
        <v>45797</v>
      </c>
      <c r="B782">
        <v>2854.61</v>
      </c>
      <c r="C782">
        <v>2837.19</v>
      </c>
    </row>
    <row r="783" spans="1:3" x14ac:dyDescent="0.2">
      <c r="A783" s="2">
        <v>45798</v>
      </c>
      <c r="B783">
        <v>1863.24</v>
      </c>
      <c r="C783">
        <v>1849.91</v>
      </c>
    </row>
    <row r="784" spans="1:3" x14ac:dyDescent="0.2">
      <c r="A784" s="2">
        <v>45799</v>
      </c>
      <c r="B784">
        <v>1876.02</v>
      </c>
      <c r="C784">
        <v>1829.6</v>
      </c>
    </row>
    <row r="785" spans="1:3" x14ac:dyDescent="0.2">
      <c r="A785" s="2">
        <v>45800</v>
      </c>
      <c r="B785">
        <v>5057.59</v>
      </c>
      <c r="C785">
        <v>5009.84</v>
      </c>
    </row>
    <row r="786" spans="1:3" x14ac:dyDescent="0.2">
      <c r="A786" s="2">
        <v>45801</v>
      </c>
      <c r="B786">
        <v>16604.91</v>
      </c>
      <c r="C786">
        <v>9198.0499999999993</v>
      </c>
    </row>
    <row r="787" spans="1:3" x14ac:dyDescent="0.2">
      <c r="A787" s="2">
        <v>45803</v>
      </c>
      <c r="B787">
        <v>3780.54</v>
      </c>
      <c r="C787">
        <v>3722.87</v>
      </c>
    </row>
    <row r="788" spans="1:3" x14ac:dyDescent="0.2">
      <c r="A788" s="2">
        <v>45804</v>
      </c>
      <c r="B788">
        <v>2862.12</v>
      </c>
      <c r="C788">
        <v>2842.55</v>
      </c>
    </row>
    <row r="789" spans="1:3" x14ac:dyDescent="0.2">
      <c r="A789" s="2">
        <v>45805</v>
      </c>
      <c r="B789">
        <v>4248.95</v>
      </c>
      <c r="C789">
        <v>4111.66</v>
      </c>
    </row>
    <row r="790" spans="1:3" x14ac:dyDescent="0.2">
      <c r="A790" s="2">
        <v>45806</v>
      </c>
      <c r="B790">
        <v>4298.54</v>
      </c>
      <c r="C790">
        <v>4142.12</v>
      </c>
    </row>
    <row r="791" spans="1:3" x14ac:dyDescent="0.2">
      <c r="A791" s="2">
        <v>45807</v>
      </c>
      <c r="B791">
        <v>6686.32</v>
      </c>
      <c r="C791">
        <v>6557.85</v>
      </c>
    </row>
    <row r="792" spans="1:3" x14ac:dyDescent="0.2">
      <c r="A792" s="2">
        <v>45808</v>
      </c>
      <c r="B792">
        <v>8763.85</v>
      </c>
      <c r="C792">
        <v>8597.73</v>
      </c>
    </row>
    <row r="793" spans="1:3" x14ac:dyDescent="0.2">
      <c r="A793" s="2">
        <v>45809</v>
      </c>
      <c r="B793">
        <v>5052.79</v>
      </c>
      <c r="C793">
        <v>4994.42</v>
      </c>
    </row>
    <row r="794" spans="1:3" x14ac:dyDescent="0.2">
      <c r="A794" s="2">
        <v>45810</v>
      </c>
      <c r="B794">
        <v>2854.22</v>
      </c>
      <c r="C794">
        <v>2717.36</v>
      </c>
    </row>
    <row r="795" spans="1:3" x14ac:dyDescent="0.2">
      <c r="A795" s="2">
        <v>45811</v>
      </c>
      <c r="B795">
        <v>3013.78</v>
      </c>
      <c r="C795">
        <v>2958.57</v>
      </c>
    </row>
    <row r="796" spans="1:3" x14ac:dyDescent="0.2">
      <c r="A796" s="2">
        <v>45812</v>
      </c>
      <c r="B796">
        <v>3143.41</v>
      </c>
      <c r="C796">
        <v>3076.49</v>
      </c>
    </row>
    <row r="797" spans="1:3" x14ac:dyDescent="0.2">
      <c r="A797" s="2">
        <v>45813</v>
      </c>
      <c r="B797">
        <v>4163.21</v>
      </c>
      <c r="C797">
        <v>4039.67</v>
      </c>
    </row>
    <row r="798" spans="1:3" x14ac:dyDescent="0.2">
      <c r="A798" s="2">
        <v>45814</v>
      </c>
      <c r="B798">
        <v>5504.09</v>
      </c>
      <c r="C798">
        <v>5434.47</v>
      </c>
    </row>
    <row r="799" spans="1:3" x14ac:dyDescent="0.2">
      <c r="A799" s="2">
        <v>45815</v>
      </c>
      <c r="B799">
        <v>8794.6</v>
      </c>
      <c r="C799">
        <v>8692.39</v>
      </c>
    </row>
    <row r="800" spans="1:3" x14ac:dyDescent="0.2">
      <c r="A800" s="2">
        <v>45816</v>
      </c>
      <c r="B800">
        <v>3125.9</v>
      </c>
      <c r="C800">
        <v>3097.19</v>
      </c>
    </row>
    <row r="801" spans="1:3" x14ac:dyDescent="0.2">
      <c r="A801" s="2">
        <v>45817</v>
      </c>
      <c r="B801">
        <v>2743.89</v>
      </c>
      <c r="C801">
        <v>2709.47</v>
      </c>
    </row>
    <row r="802" spans="1:3" x14ac:dyDescent="0.2">
      <c r="A802" s="2">
        <v>45818</v>
      </c>
      <c r="B802">
        <v>2778.04</v>
      </c>
      <c r="C802">
        <v>2703.12</v>
      </c>
    </row>
    <row r="803" spans="1:3" x14ac:dyDescent="0.2">
      <c r="A803" s="2">
        <v>45819</v>
      </c>
      <c r="B803">
        <v>2297.13</v>
      </c>
      <c r="C803">
        <v>2280.46</v>
      </c>
    </row>
    <row r="804" spans="1:3" x14ac:dyDescent="0.2">
      <c r="A804" s="2">
        <v>45820</v>
      </c>
      <c r="B804">
        <v>2987.48</v>
      </c>
      <c r="C804">
        <v>2887.01</v>
      </c>
    </row>
    <row r="805" spans="1:3" x14ac:dyDescent="0.2">
      <c r="A805" s="2">
        <v>45821</v>
      </c>
      <c r="B805">
        <v>6736.11</v>
      </c>
      <c r="C805">
        <v>6633.07</v>
      </c>
    </row>
    <row r="806" spans="1:3" x14ac:dyDescent="0.2">
      <c r="A806" s="2">
        <v>45822</v>
      </c>
      <c r="B806">
        <v>8840.56</v>
      </c>
      <c r="C806">
        <v>8633.31</v>
      </c>
    </row>
    <row r="807" spans="1:3" x14ac:dyDescent="0.2">
      <c r="A807" s="2">
        <v>45823</v>
      </c>
      <c r="B807">
        <v>5256.32</v>
      </c>
      <c r="C807">
        <v>5088.1499999999996</v>
      </c>
    </row>
    <row r="808" spans="1:3" x14ac:dyDescent="0.2">
      <c r="A808" s="2">
        <v>45824</v>
      </c>
      <c r="B808">
        <v>2831.97</v>
      </c>
      <c r="C808">
        <v>2765.81</v>
      </c>
    </row>
    <row r="809" spans="1:3" x14ac:dyDescent="0.2">
      <c r="A809" s="2">
        <v>45825</v>
      </c>
      <c r="B809">
        <v>3534.12</v>
      </c>
      <c r="C809">
        <v>3455.58</v>
      </c>
    </row>
    <row r="810" spans="1:3" x14ac:dyDescent="0.2">
      <c r="A810" s="2">
        <v>45826</v>
      </c>
      <c r="B810">
        <v>2706.66</v>
      </c>
      <c r="C810">
        <v>2643.41</v>
      </c>
    </row>
    <row r="811" spans="1:3" x14ac:dyDescent="0.2">
      <c r="A811" s="2">
        <v>45827</v>
      </c>
      <c r="B811">
        <v>2741.02</v>
      </c>
      <c r="C811">
        <v>2702.27</v>
      </c>
    </row>
    <row r="812" spans="1:3" x14ac:dyDescent="0.2">
      <c r="A812" s="2">
        <v>45828</v>
      </c>
      <c r="B812">
        <v>4799</v>
      </c>
      <c r="C812">
        <v>4678.1899999999996</v>
      </c>
    </row>
    <row r="813" spans="1:3" x14ac:dyDescent="0.2">
      <c r="A813" s="2">
        <v>45829</v>
      </c>
      <c r="B813">
        <v>8461.7900000000009</v>
      </c>
      <c r="C813">
        <v>8335.8700000000008</v>
      </c>
    </row>
    <row r="814" spans="1:3" x14ac:dyDescent="0.2">
      <c r="A814" s="2">
        <v>45830</v>
      </c>
      <c r="B814">
        <v>4274.22</v>
      </c>
      <c r="C814">
        <v>4231.97</v>
      </c>
    </row>
    <row r="815" spans="1:3" x14ac:dyDescent="0.2">
      <c r="A815" s="2">
        <v>45831</v>
      </c>
      <c r="B815">
        <v>3516.92</v>
      </c>
      <c r="C815">
        <v>3469.63</v>
      </c>
    </row>
    <row r="816" spans="1:3" x14ac:dyDescent="0.2">
      <c r="A816" s="2">
        <v>45832</v>
      </c>
      <c r="B816">
        <v>2910.86</v>
      </c>
      <c r="C816">
        <v>2869.49</v>
      </c>
    </row>
    <row r="817" spans="1:3" x14ac:dyDescent="0.2">
      <c r="A817" s="2">
        <v>45833</v>
      </c>
      <c r="B817">
        <v>3483.84</v>
      </c>
      <c r="C817">
        <v>3370.87</v>
      </c>
    </row>
    <row r="818" spans="1:3" x14ac:dyDescent="0.2">
      <c r="A818" s="2">
        <v>45834</v>
      </c>
      <c r="B818">
        <v>3655.17</v>
      </c>
      <c r="C818">
        <v>3601.5</v>
      </c>
    </row>
    <row r="819" spans="1:3" x14ac:dyDescent="0.2">
      <c r="A819" s="2">
        <v>45835</v>
      </c>
      <c r="B819">
        <v>6372.64</v>
      </c>
      <c r="C819">
        <v>6215.93</v>
      </c>
    </row>
    <row r="820" spans="1:3" x14ac:dyDescent="0.2">
      <c r="A820" s="2">
        <v>45836</v>
      </c>
      <c r="B820">
        <v>9047.26</v>
      </c>
      <c r="C820">
        <v>8906.7999999999993</v>
      </c>
    </row>
    <row r="821" spans="1:3" x14ac:dyDescent="0.2">
      <c r="A821" s="2">
        <v>45837</v>
      </c>
      <c r="B821">
        <v>4341</v>
      </c>
      <c r="C821">
        <v>4283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705A-CD55-BA42-BC48-34DEEAFD5668}">
  <dimension ref="B1:T46"/>
  <sheetViews>
    <sheetView tabSelected="1" workbookViewId="0">
      <selection activeCell="Q31" sqref="Q31"/>
    </sheetView>
  </sheetViews>
  <sheetFormatPr baseColWidth="10" defaultRowHeight="16" x14ac:dyDescent="0.2"/>
  <cols>
    <col min="1" max="1" width="3.83203125" customWidth="1"/>
    <col min="2" max="2" width="12.1640625" customWidth="1"/>
    <col min="3" max="3" width="9.5" customWidth="1"/>
    <col min="4" max="4" width="11.6640625" customWidth="1"/>
    <col min="5" max="5" width="11.33203125" customWidth="1"/>
    <col min="6" max="6" width="9.6640625" customWidth="1"/>
    <col min="8" max="8" width="9.83203125" customWidth="1"/>
    <col min="9" max="9" width="11.5" customWidth="1"/>
    <col min="10" max="10" width="9.33203125" customWidth="1"/>
    <col min="11" max="11" width="10.83203125" customWidth="1"/>
    <col min="14" max="14" width="11.33203125" customWidth="1"/>
    <col min="17" max="17" width="9.33203125" customWidth="1"/>
    <col min="18" max="18" width="12.83203125" customWidth="1"/>
    <col min="19" max="19" width="15.5" customWidth="1"/>
    <col min="20" max="20" width="9.5" customWidth="1"/>
  </cols>
  <sheetData>
    <row r="1" spans="2:20" ht="10" customHeight="1" x14ac:dyDescent="0.2"/>
    <row r="2" spans="2:20" ht="19" x14ac:dyDescent="0.25">
      <c r="B2" s="37" t="s">
        <v>69</v>
      </c>
      <c r="D2" s="38" t="s">
        <v>53</v>
      </c>
      <c r="E2" s="39"/>
      <c r="F2" s="39"/>
      <c r="G2" s="39"/>
      <c r="H2" s="39"/>
      <c r="I2" s="40"/>
      <c r="K2" s="38" t="s">
        <v>54</v>
      </c>
      <c r="L2" s="39"/>
      <c r="M2" s="39"/>
      <c r="N2" s="39"/>
      <c r="O2" s="39"/>
      <c r="P2" s="40"/>
      <c r="R2" s="38" t="s">
        <v>62</v>
      </c>
      <c r="S2" s="39"/>
      <c r="T2" s="40"/>
    </row>
    <row r="3" spans="2:20" ht="16" customHeight="1" x14ac:dyDescent="0.2">
      <c r="B3" s="43">
        <v>58.8</v>
      </c>
      <c r="D3" s="16" t="s">
        <v>52</v>
      </c>
      <c r="E3" s="16" t="s">
        <v>67</v>
      </c>
      <c r="F3" s="16" t="s">
        <v>6</v>
      </c>
      <c r="G3" s="16" t="s">
        <v>2</v>
      </c>
      <c r="H3" s="16" t="s">
        <v>18</v>
      </c>
      <c r="I3" s="16" t="s">
        <v>55</v>
      </c>
      <c r="K3" s="16" t="s">
        <v>52</v>
      </c>
      <c r="L3" s="16" t="s">
        <v>67</v>
      </c>
      <c r="M3" s="16" t="s">
        <v>6</v>
      </c>
      <c r="N3" s="16" t="s">
        <v>2</v>
      </c>
      <c r="O3" s="16" t="s">
        <v>18</v>
      </c>
      <c r="P3" s="16" t="s">
        <v>55</v>
      </c>
      <c r="R3" s="16" t="s">
        <v>59</v>
      </c>
      <c r="S3" s="16" t="s">
        <v>60</v>
      </c>
      <c r="T3" s="16" t="s">
        <v>61</v>
      </c>
    </row>
    <row r="4" spans="2:20" ht="16" customHeight="1" x14ac:dyDescent="0.2">
      <c r="B4" s="43"/>
      <c r="D4" s="11">
        <v>45244</v>
      </c>
      <c r="E4" s="12" t="s">
        <v>34</v>
      </c>
      <c r="F4" s="12">
        <v>0.44600000000000001</v>
      </c>
      <c r="G4" s="12">
        <v>9.9</v>
      </c>
      <c r="H4" s="12">
        <v>100</v>
      </c>
      <c r="I4" s="47">
        <f>AVERAGE(H4:H13)</f>
        <v>63.2</v>
      </c>
      <c r="K4" s="11">
        <v>45089</v>
      </c>
      <c r="L4" s="12" t="s">
        <v>35</v>
      </c>
      <c r="M4" s="12">
        <v>0</v>
      </c>
      <c r="N4" s="22">
        <v>25.9</v>
      </c>
      <c r="O4" s="12">
        <v>70</v>
      </c>
      <c r="P4" s="44">
        <f>AVERAGE(O4:O13)</f>
        <v>21.3</v>
      </c>
      <c r="R4" s="12">
        <v>58.3</v>
      </c>
      <c r="S4" s="12">
        <v>65.7</v>
      </c>
      <c r="T4" s="12">
        <f>SUM(S4-R4)</f>
        <v>7.4000000000000057</v>
      </c>
    </row>
    <row r="5" spans="2:20" ht="16" customHeight="1" x14ac:dyDescent="0.2">
      <c r="D5" s="11">
        <v>45010</v>
      </c>
      <c r="E5" s="12" t="s">
        <v>37</v>
      </c>
      <c r="F5" s="12">
        <v>0.374</v>
      </c>
      <c r="G5" s="12">
        <v>10.199999999999999</v>
      </c>
      <c r="H5" s="12">
        <v>93</v>
      </c>
      <c r="I5" s="48"/>
      <c r="K5" s="11">
        <v>45173</v>
      </c>
      <c r="L5" s="12" t="s">
        <v>35</v>
      </c>
      <c r="M5" s="12">
        <v>0</v>
      </c>
      <c r="N5" s="22">
        <v>26</v>
      </c>
      <c r="O5" s="12">
        <v>56</v>
      </c>
      <c r="P5" s="45"/>
    </row>
    <row r="6" spans="2:20" ht="16" customHeight="1" x14ac:dyDescent="0.2">
      <c r="B6" s="10" t="s">
        <v>33</v>
      </c>
      <c r="D6" s="11">
        <v>44610</v>
      </c>
      <c r="E6" s="12" t="s">
        <v>38</v>
      </c>
      <c r="F6" s="12">
        <v>0.627</v>
      </c>
      <c r="G6" s="12">
        <v>6.6</v>
      </c>
      <c r="H6" s="12">
        <v>75</v>
      </c>
      <c r="I6" s="48"/>
      <c r="K6" s="11">
        <v>44787</v>
      </c>
      <c r="L6" s="12" t="s">
        <v>36</v>
      </c>
      <c r="M6" s="12">
        <v>0</v>
      </c>
      <c r="N6" s="22">
        <v>28.8</v>
      </c>
      <c r="O6" s="12">
        <v>27</v>
      </c>
      <c r="P6" s="45"/>
    </row>
    <row r="7" spans="2:20" ht="16" customHeight="1" x14ac:dyDescent="0.2">
      <c r="B7" s="43">
        <v>7.1</v>
      </c>
      <c r="D7" s="11">
        <v>45257</v>
      </c>
      <c r="E7" s="12" t="s">
        <v>35</v>
      </c>
      <c r="F7" s="12">
        <v>0.50800000000000001</v>
      </c>
      <c r="G7" s="12">
        <v>5.7</v>
      </c>
      <c r="H7" s="12">
        <v>61</v>
      </c>
      <c r="I7" s="48"/>
      <c r="K7" s="11">
        <v>44785</v>
      </c>
      <c r="L7" s="12" t="s">
        <v>38</v>
      </c>
      <c r="M7" s="12">
        <v>0</v>
      </c>
      <c r="N7" s="22">
        <v>28.4</v>
      </c>
      <c r="O7" s="12">
        <v>14</v>
      </c>
      <c r="P7" s="45"/>
    </row>
    <row r="8" spans="2:20" ht="16" customHeight="1" x14ac:dyDescent="0.2">
      <c r="B8" s="43"/>
      <c r="D8" s="11">
        <v>45264</v>
      </c>
      <c r="E8" s="12" t="s">
        <v>35</v>
      </c>
      <c r="F8" s="12">
        <v>0.45300000000000001</v>
      </c>
      <c r="G8" s="12">
        <v>4.9000000000000004</v>
      </c>
      <c r="H8" s="12">
        <v>59</v>
      </c>
      <c r="I8" s="48"/>
      <c r="K8" s="11">
        <v>44760</v>
      </c>
      <c r="L8" s="12" t="s">
        <v>35</v>
      </c>
      <c r="M8" s="12">
        <v>0</v>
      </c>
      <c r="N8" s="22">
        <v>33.200000000000003</v>
      </c>
      <c r="O8" s="12">
        <v>11</v>
      </c>
      <c r="P8" s="45"/>
      <c r="R8" s="50" t="s">
        <v>70</v>
      </c>
      <c r="S8" s="50"/>
      <c r="T8" s="50"/>
    </row>
    <row r="9" spans="2:20" ht="16" customHeight="1" x14ac:dyDescent="0.2">
      <c r="D9" s="11">
        <v>45267</v>
      </c>
      <c r="E9" s="12" t="s">
        <v>39</v>
      </c>
      <c r="F9" s="12">
        <v>0.81799999999999995</v>
      </c>
      <c r="G9" s="12">
        <v>5.0999999999999996</v>
      </c>
      <c r="H9" s="12">
        <v>59</v>
      </c>
      <c r="I9" s="48"/>
      <c r="K9" s="11">
        <v>44786</v>
      </c>
      <c r="L9" s="12" t="s">
        <v>37</v>
      </c>
      <c r="M9" s="12">
        <v>0</v>
      </c>
      <c r="N9" s="22">
        <v>27.4</v>
      </c>
      <c r="O9" s="12">
        <v>10</v>
      </c>
      <c r="P9" s="45"/>
      <c r="R9" s="8" t="s">
        <v>72</v>
      </c>
      <c r="S9" s="8" t="s">
        <v>71</v>
      </c>
      <c r="T9" s="8" t="s">
        <v>74</v>
      </c>
    </row>
    <row r="10" spans="2:20" ht="16" customHeight="1" x14ac:dyDescent="0.2">
      <c r="D10" s="11">
        <v>44880</v>
      </c>
      <c r="E10" s="12" t="s">
        <v>34</v>
      </c>
      <c r="F10" s="12">
        <v>0.60399999999999998</v>
      </c>
      <c r="G10" s="12">
        <v>10.8</v>
      </c>
      <c r="H10" s="12">
        <v>53</v>
      </c>
      <c r="I10" s="48"/>
      <c r="K10" s="11">
        <v>44783</v>
      </c>
      <c r="L10" s="12" t="s">
        <v>42</v>
      </c>
      <c r="M10" s="12">
        <v>0</v>
      </c>
      <c r="N10" s="22">
        <v>28.9</v>
      </c>
      <c r="O10" s="12">
        <v>8</v>
      </c>
      <c r="P10" s="45"/>
      <c r="R10" s="6" t="s">
        <v>48</v>
      </c>
      <c r="S10" s="6">
        <v>51.775399999999998</v>
      </c>
      <c r="T10" s="6">
        <v>334</v>
      </c>
    </row>
    <row r="11" spans="2:20" ht="16" customHeight="1" x14ac:dyDescent="0.2">
      <c r="D11" s="11">
        <v>44882</v>
      </c>
      <c r="E11" s="12" t="s">
        <v>39</v>
      </c>
      <c r="F11" s="12">
        <v>1.0449999999999999</v>
      </c>
      <c r="G11" s="12">
        <v>10.4</v>
      </c>
      <c r="H11" s="12">
        <v>53</v>
      </c>
      <c r="I11" s="48"/>
      <c r="K11" s="11">
        <v>44784</v>
      </c>
      <c r="L11" s="12" t="s">
        <v>39</v>
      </c>
      <c r="M11" s="12">
        <v>0</v>
      </c>
      <c r="N11" s="22">
        <v>29.4</v>
      </c>
      <c r="O11" s="12">
        <v>8</v>
      </c>
      <c r="P11" s="45"/>
      <c r="R11" s="6" t="s">
        <v>46</v>
      </c>
      <c r="S11" s="6">
        <v>63.340899999999998</v>
      </c>
      <c r="T11" s="6">
        <v>220</v>
      </c>
    </row>
    <row r="12" spans="2:20" ht="16" customHeight="1" x14ac:dyDescent="0.2">
      <c r="D12" s="11">
        <v>44926</v>
      </c>
      <c r="E12" s="12" t="s">
        <v>37</v>
      </c>
      <c r="F12" s="12">
        <v>0.628</v>
      </c>
      <c r="G12" s="12">
        <v>8.1</v>
      </c>
      <c r="H12" s="12">
        <v>51</v>
      </c>
      <c r="I12" s="48"/>
      <c r="K12" s="11">
        <v>44761</v>
      </c>
      <c r="L12" s="12" t="s">
        <v>34</v>
      </c>
      <c r="M12" s="12">
        <v>0</v>
      </c>
      <c r="N12" s="22">
        <v>37.1</v>
      </c>
      <c r="O12" s="12">
        <v>7</v>
      </c>
      <c r="P12" s="45"/>
      <c r="R12" s="6" t="s">
        <v>44</v>
      </c>
      <c r="S12" s="6">
        <v>45.333300000000001</v>
      </c>
      <c r="T12" s="6">
        <v>63</v>
      </c>
    </row>
    <row r="13" spans="2:20" ht="16" customHeight="1" x14ac:dyDescent="0.2">
      <c r="D13" s="11">
        <v>45269</v>
      </c>
      <c r="E13" s="12" t="s">
        <v>37</v>
      </c>
      <c r="F13" s="12">
        <v>0.53900000000000003</v>
      </c>
      <c r="G13" s="12">
        <v>9.4</v>
      </c>
      <c r="H13" s="12">
        <v>28</v>
      </c>
      <c r="I13" s="49"/>
      <c r="K13" s="11">
        <v>44753</v>
      </c>
      <c r="L13" s="12" t="s">
        <v>35</v>
      </c>
      <c r="M13" s="12">
        <v>0</v>
      </c>
      <c r="N13" s="22">
        <v>28.3</v>
      </c>
      <c r="O13" s="12">
        <v>2</v>
      </c>
      <c r="P13" s="46"/>
      <c r="R13" s="6" t="s">
        <v>41</v>
      </c>
      <c r="S13" s="6">
        <v>39.934600000000003</v>
      </c>
      <c r="T13" s="6">
        <v>107</v>
      </c>
    </row>
    <row r="14" spans="2:20" ht="16" customHeight="1" x14ac:dyDescent="0.2">
      <c r="L14" s="2"/>
      <c r="Q14" s="21"/>
    </row>
    <row r="15" spans="2:20" ht="19" x14ac:dyDescent="0.25">
      <c r="B15" s="41" t="s">
        <v>66</v>
      </c>
      <c r="C15" s="41"/>
      <c r="D15" s="41"/>
      <c r="E15" s="41"/>
      <c r="G15" s="38" t="s">
        <v>56</v>
      </c>
      <c r="H15" s="39"/>
      <c r="I15" s="39"/>
      <c r="J15" s="40"/>
      <c r="L15" s="42" t="s">
        <v>63</v>
      </c>
      <c r="M15" s="42"/>
      <c r="N15" s="42"/>
      <c r="O15" s="42"/>
      <c r="R15" s="51" t="s">
        <v>73</v>
      </c>
      <c r="S15" s="51"/>
      <c r="T15" s="51"/>
    </row>
    <row r="16" spans="2:20" x14ac:dyDescent="0.2">
      <c r="B16" s="16" t="s">
        <v>57</v>
      </c>
      <c r="C16" s="16" t="s">
        <v>58</v>
      </c>
      <c r="D16" s="16" t="s">
        <v>65</v>
      </c>
      <c r="E16" s="16" t="s">
        <v>68</v>
      </c>
      <c r="G16" s="8" t="s">
        <v>57</v>
      </c>
      <c r="H16" s="8" t="s">
        <v>58</v>
      </c>
      <c r="I16" s="16" t="s">
        <v>65</v>
      </c>
      <c r="J16" s="16" t="s">
        <v>68</v>
      </c>
      <c r="L16" s="16" t="s">
        <v>64</v>
      </c>
      <c r="M16" s="16" t="s">
        <v>58</v>
      </c>
      <c r="N16" s="16" t="s">
        <v>65</v>
      </c>
      <c r="O16" s="16" t="s">
        <v>33</v>
      </c>
      <c r="R16" s="16" t="s">
        <v>72</v>
      </c>
      <c r="S16" s="16" t="s">
        <v>71</v>
      </c>
      <c r="T16" s="16" t="s">
        <v>74</v>
      </c>
    </row>
    <row r="17" spans="2:20" x14ac:dyDescent="0.2">
      <c r="B17" s="12" t="s">
        <v>32</v>
      </c>
      <c r="C17" s="22">
        <v>58.74</v>
      </c>
      <c r="D17" s="22">
        <f>C17-$C$30</f>
        <v>-0.18750000000000711</v>
      </c>
      <c r="E17" s="22">
        <f>D17/$C$31</f>
        <v>-2.6518335931000565E-2</v>
      </c>
      <c r="G17" s="6" t="s">
        <v>32</v>
      </c>
      <c r="H17" s="23">
        <v>54.3</v>
      </c>
      <c r="I17" s="23">
        <f t="shared" ref="I17:I28" si="0">H17-$H$30</f>
        <v>-6.6666666666655772E-2</v>
      </c>
      <c r="J17" s="23">
        <f t="shared" ref="J17:J28" si="1">I17/$H$31</f>
        <v>-9.1332251273960816E-3</v>
      </c>
      <c r="L17" s="12" t="s">
        <v>35</v>
      </c>
      <c r="M17" s="12">
        <v>56.68</v>
      </c>
      <c r="N17" s="12">
        <v>-2.12</v>
      </c>
      <c r="O17" s="12">
        <v>-0.3</v>
      </c>
      <c r="R17" s="12" t="s">
        <v>47</v>
      </c>
      <c r="S17" s="12">
        <v>53.81</v>
      </c>
      <c r="T17" s="12">
        <v>400</v>
      </c>
    </row>
    <row r="18" spans="2:20" x14ac:dyDescent="0.2">
      <c r="B18" s="12" t="s">
        <v>31</v>
      </c>
      <c r="C18" s="22">
        <v>67.73</v>
      </c>
      <c r="D18" s="22">
        <f t="shared" ref="D18:D28" si="2">C18-$C$30</f>
        <v>8.8024999999999949</v>
      </c>
      <c r="E18" s="22">
        <f t="shared" ref="E18:E28" si="3">D18/$C$31</f>
        <v>1.2449474775073253</v>
      </c>
      <c r="G18" s="6" t="s">
        <v>31</v>
      </c>
      <c r="H18" s="23">
        <v>59.9</v>
      </c>
      <c r="I18" s="23">
        <f t="shared" si="0"/>
        <v>5.5333333333333456</v>
      </c>
      <c r="J18" s="23">
        <f t="shared" si="1"/>
        <v>0.75805768557400033</v>
      </c>
      <c r="L18" s="12" t="s">
        <v>34</v>
      </c>
      <c r="M18" s="12">
        <v>56.12</v>
      </c>
      <c r="N18" s="12">
        <v>-2.68</v>
      </c>
      <c r="O18" s="12">
        <v>-0.38</v>
      </c>
      <c r="R18" s="12" t="s">
        <v>45</v>
      </c>
      <c r="S18" s="12">
        <v>57.698099999999997</v>
      </c>
      <c r="T18" s="12">
        <v>159</v>
      </c>
    </row>
    <row r="19" spans="2:20" x14ac:dyDescent="0.2">
      <c r="B19" s="12" t="s">
        <v>30</v>
      </c>
      <c r="C19" s="22">
        <v>57.96</v>
      </c>
      <c r="D19" s="22">
        <f t="shared" si="2"/>
        <v>-0.96750000000000824</v>
      </c>
      <c r="E19" s="22">
        <f t="shared" si="3"/>
        <v>-0.13683461340395889</v>
      </c>
      <c r="G19" s="6" t="s">
        <v>30</v>
      </c>
      <c r="H19" s="23">
        <v>50.9</v>
      </c>
      <c r="I19" s="23">
        <f t="shared" si="0"/>
        <v>-3.4666666666666544</v>
      </c>
      <c r="J19" s="23">
        <f t="shared" si="1"/>
        <v>-0.47492770662467215</v>
      </c>
      <c r="L19" s="17" t="s">
        <v>42</v>
      </c>
      <c r="M19" s="17">
        <v>51.27</v>
      </c>
      <c r="N19" s="17">
        <v>-7.53</v>
      </c>
      <c r="O19" s="17">
        <v>-1.06</v>
      </c>
      <c r="R19" s="12" t="s">
        <v>43</v>
      </c>
      <c r="S19" s="12">
        <v>45.315800000000003</v>
      </c>
      <c r="T19" s="12">
        <v>152</v>
      </c>
    </row>
    <row r="20" spans="2:20" x14ac:dyDescent="0.2">
      <c r="B20" s="12" t="s">
        <v>29</v>
      </c>
      <c r="C20" s="22">
        <v>58.5</v>
      </c>
      <c r="D20" s="22">
        <f t="shared" si="2"/>
        <v>-0.42750000000000909</v>
      </c>
      <c r="E20" s="22">
        <f t="shared" si="3"/>
        <v>-6.0461805922680287E-2</v>
      </c>
      <c r="G20" s="6" t="s">
        <v>29</v>
      </c>
      <c r="H20" s="23">
        <v>54.4</v>
      </c>
      <c r="I20" s="23">
        <f t="shared" si="0"/>
        <v>3.3333333333345649E-2</v>
      </c>
      <c r="J20" s="23">
        <f t="shared" si="1"/>
        <v>4.5666125637004737E-3</v>
      </c>
      <c r="L20" s="12" t="s">
        <v>39</v>
      </c>
      <c r="M20" s="12">
        <v>52.16</v>
      </c>
      <c r="N20" s="12">
        <v>-6.64</v>
      </c>
      <c r="O20" s="12">
        <v>-0.94</v>
      </c>
      <c r="R20" s="12" t="s">
        <v>40</v>
      </c>
      <c r="S20" s="12">
        <v>59.307699999999997</v>
      </c>
      <c r="T20" s="12">
        <v>13</v>
      </c>
    </row>
    <row r="21" spans="2:20" x14ac:dyDescent="0.2">
      <c r="B21" s="12" t="s">
        <v>28</v>
      </c>
      <c r="C21" s="22">
        <v>56.42</v>
      </c>
      <c r="D21" s="22">
        <f t="shared" si="2"/>
        <v>-2.5075000000000074</v>
      </c>
      <c r="E21" s="22">
        <f t="shared" si="3"/>
        <v>-0.35463854585056853</v>
      </c>
      <c r="G21" s="6" t="s">
        <v>28</v>
      </c>
      <c r="H21" s="23">
        <v>49.6</v>
      </c>
      <c r="I21" s="23">
        <f t="shared" si="0"/>
        <v>-4.7666666666666515</v>
      </c>
      <c r="J21" s="23">
        <f t="shared" si="1"/>
        <v>-0.65302559660892445</v>
      </c>
      <c r="L21" s="12" t="s">
        <v>38</v>
      </c>
      <c r="M21" s="12">
        <v>60.02</v>
      </c>
      <c r="N21" s="12">
        <v>1.22</v>
      </c>
      <c r="O21" s="12">
        <v>0.17</v>
      </c>
    </row>
    <row r="22" spans="2:20" x14ac:dyDescent="0.2">
      <c r="B22" s="12" t="s">
        <v>27</v>
      </c>
      <c r="C22" s="22">
        <v>54.38</v>
      </c>
      <c r="D22" s="22">
        <f t="shared" si="2"/>
        <v>-4.5475000000000065</v>
      </c>
      <c r="E22" s="22">
        <f t="shared" si="3"/>
        <v>-0.64315804077984362</v>
      </c>
      <c r="G22" s="6" t="s">
        <v>27</v>
      </c>
      <c r="H22" s="23">
        <v>49</v>
      </c>
      <c r="I22" s="23">
        <f t="shared" si="0"/>
        <v>-5.3666666666666529</v>
      </c>
      <c r="J22" s="23">
        <f t="shared" si="1"/>
        <v>-0.73522462275550282</v>
      </c>
      <c r="L22" s="12" t="s">
        <v>37</v>
      </c>
      <c r="M22" s="12">
        <v>71.52</v>
      </c>
      <c r="N22" s="12">
        <v>12.72</v>
      </c>
      <c r="O22" s="12">
        <v>1.8</v>
      </c>
    </row>
    <row r="23" spans="2:20" x14ac:dyDescent="0.2">
      <c r="B23" s="12" t="s">
        <v>26</v>
      </c>
      <c r="C23" s="22">
        <v>54.81</v>
      </c>
      <c r="D23" s="22">
        <f t="shared" si="2"/>
        <v>-4.1175000000000068</v>
      </c>
      <c r="E23" s="22">
        <f t="shared" si="3"/>
        <v>-0.5823426570447513</v>
      </c>
      <c r="G23" s="6" t="s">
        <v>26</v>
      </c>
      <c r="H23" s="23">
        <v>55.2</v>
      </c>
      <c r="I23" s="23">
        <f t="shared" si="0"/>
        <v>0.83333333333334991</v>
      </c>
      <c r="J23" s="23">
        <f t="shared" si="1"/>
        <v>0.11416531409247194</v>
      </c>
      <c r="L23" s="12" t="s">
        <v>36</v>
      </c>
      <c r="M23" s="12">
        <v>63.81</v>
      </c>
      <c r="N23" s="12">
        <v>5.01</v>
      </c>
      <c r="O23" s="12">
        <v>0.71</v>
      </c>
    </row>
    <row r="24" spans="2:20" x14ac:dyDescent="0.2">
      <c r="B24" s="12" t="s">
        <v>25</v>
      </c>
      <c r="C24" s="22">
        <v>59.34</v>
      </c>
      <c r="D24" s="22">
        <f t="shared" si="2"/>
        <v>0.41249999999999432</v>
      </c>
      <c r="E24" s="22">
        <f t="shared" si="3"/>
        <v>5.8340339048198228E-2</v>
      </c>
      <c r="G24" s="6" t="s">
        <v>25</v>
      </c>
      <c r="H24" s="23">
        <v>56.9</v>
      </c>
      <c r="I24" s="23">
        <f t="shared" si="0"/>
        <v>2.5333333333333456</v>
      </c>
      <c r="J24" s="23">
        <f t="shared" si="1"/>
        <v>0.34706255484110948</v>
      </c>
    </row>
    <row r="25" spans="2:20" x14ac:dyDescent="0.2">
      <c r="B25" s="17" t="s">
        <v>24</v>
      </c>
      <c r="C25" s="26">
        <v>46.21</v>
      </c>
      <c r="D25" s="26">
        <f t="shared" si="2"/>
        <v>-12.717500000000008</v>
      </c>
      <c r="E25" s="26">
        <f t="shared" si="3"/>
        <v>-1.7986503317465981</v>
      </c>
      <c r="G25" s="14" t="s">
        <v>24</v>
      </c>
      <c r="H25" s="24">
        <v>42.4</v>
      </c>
      <c r="I25" s="24">
        <f t="shared" si="0"/>
        <v>-11.966666666666654</v>
      </c>
      <c r="J25" s="24">
        <f t="shared" si="1"/>
        <v>-1.6394139103678627</v>
      </c>
    </row>
    <row r="26" spans="2:20" x14ac:dyDescent="0.2">
      <c r="B26" s="12" t="s">
        <v>23</v>
      </c>
      <c r="C26" s="22">
        <v>53.48</v>
      </c>
      <c r="D26" s="22">
        <f t="shared" si="2"/>
        <v>-5.4475000000000122</v>
      </c>
      <c r="E26" s="22">
        <f t="shared" si="3"/>
        <v>-0.77044605324864235</v>
      </c>
      <c r="G26" s="6" t="s">
        <v>23</v>
      </c>
      <c r="H26" s="23">
        <v>47.6</v>
      </c>
      <c r="I26" s="23">
        <f t="shared" si="0"/>
        <v>-6.7666666666666515</v>
      </c>
      <c r="J26" s="23">
        <f t="shared" si="1"/>
        <v>-0.92702235043085157</v>
      </c>
    </row>
    <row r="27" spans="2:20" x14ac:dyDescent="0.2">
      <c r="B27" s="18" t="s">
        <v>22</v>
      </c>
      <c r="C27" s="27">
        <v>70.12</v>
      </c>
      <c r="D27" s="27">
        <f t="shared" si="2"/>
        <v>11.192499999999995</v>
      </c>
      <c r="E27" s="27">
        <f t="shared" si="3"/>
        <v>1.5829678661744664</v>
      </c>
      <c r="G27" s="6" t="s">
        <v>22</v>
      </c>
      <c r="H27" s="23">
        <v>62.9</v>
      </c>
      <c r="I27" s="23">
        <f t="shared" si="0"/>
        <v>8.5333333333333456</v>
      </c>
      <c r="J27" s="23">
        <f t="shared" si="1"/>
        <v>1.1690528163068912</v>
      </c>
    </row>
    <row r="28" spans="2:20" x14ac:dyDescent="0.2">
      <c r="B28" s="12" t="s">
        <v>21</v>
      </c>
      <c r="C28" s="22">
        <v>69.44</v>
      </c>
      <c r="D28" s="22">
        <f t="shared" si="2"/>
        <v>10.512499999999989</v>
      </c>
      <c r="E28" s="22">
        <f t="shared" si="3"/>
        <v>1.4867947011980405</v>
      </c>
      <c r="G28" s="13" t="s">
        <v>21</v>
      </c>
      <c r="H28" s="25">
        <v>69.3</v>
      </c>
      <c r="I28" s="25">
        <f t="shared" si="0"/>
        <v>14.933333333333344</v>
      </c>
      <c r="J28" s="25">
        <f t="shared" si="1"/>
        <v>2.0458424285370578</v>
      </c>
    </row>
    <row r="29" spans="2:20" ht="9" customHeight="1" x14ac:dyDescent="0.2">
      <c r="B29" s="7"/>
      <c r="C29" s="34"/>
      <c r="G29" s="20"/>
      <c r="H29" s="35"/>
      <c r="I29" s="20"/>
      <c r="J29" s="20"/>
    </row>
    <row r="30" spans="2:20" x14ac:dyDescent="0.2">
      <c r="B30" s="8" t="s">
        <v>69</v>
      </c>
      <c r="C30" s="28">
        <f>AVERAGE(C17:C28)</f>
        <v>58.927500000000009</v>
      </c>
      <c r="G30" s="8" t="s">
        <v>69</v>
      </c>
      <c r="H30" s="29">
        <f>AVERAGE(H17:H28)</f>
        <v>54.366666666666653</v>
      </c>
      <c r="L30" s="1"/>
    </row>
    <row r="31" spans="2:20" x14ac:dyDescent="0.2">
      <c r="B31" s="8" t="s">
        <v>68</v>
      </c>
      <c r="C31" s="28">
        <f>_xlfn.STDEV.S(C17:C28)</f>
        <v>7.0705794092009802</v>
      </c>
      <c r="G31" s="36" t="s">
        <v>68</v>
      </c>
      <c r="H31" s="33">
        <f>_xlfn.STDEV.S(H17:H28)</f>
        <v>7.2993565511357001</v>
      </c>
    </row>
    <row r="32" spans="2:20" x14ac:dyDescent="0.2">
      <c r="B32" s="30"/>
      <c r="C32" s="9"/>
    </row>
    <row r="33" spans="2:5" ht="19" x14ac:dyDescent="0.2">
      <c r="B33" s="32"/>
      <c r="C33" s="15"/>
      <c r="E33" s="1"/>
    </row>
    <row r="34" spans="2:5" x14ac:dyDescent="0.2">
      <c r="B34" s="31"/>
      <c r="C34" s="19"/>
    </row>
    <row r="35" spans="2:5" x14ac:dyDescent="0.2">
      <c r="B35" s="7"/>
      <c r="C35" s="7"/>
    </row>
    <row r="36" spans="2:5" x14ac:dyDescent="0.2">
      <c r="B36" s="7"/>
      <c r="C36" s="7"/>
    </row>
    <row r="37" spans="2:5" x14ac:dyDescent="0.2">
      <c r="B37" s="7"/>
      <c r="C37" s="7"/>
    </row>
    <row r="38" spans="2:5" x14ac:dyDescent="0.2">
      <c r="B38" s="7"/>
      <c r="C38" s="7"/>
    </row>
    <row r="39" spans="2:5" x14ac:dyDescent="0.2">
      <c r="B39" s="7"/>
      <c r="C39" s="7"/>
    </row>
    <row r="40" spans="2:5" x14ac:dyDescent="0.2">
      <c r="B40" s="7"/>
      <c r="C40" s="7"/>
    </row>
    <row r="41" spans="2:5" x14ac:dyDescent="0.2">
      <c r="B41" s="7"/>
      <c r="C41" s="7"/>
    </row>
    <row r="42" spans="2:5" x14ac:dyDescent="0.2">
      <c r="B42" s="7"/>
      <c r="C42" s="7"/>
    </row>
    <row r="43" spans="2:5" x14ac:dyDescent="0.2">
      <c r="C43" s="7"/>
    </row>
    <row r="44" spans="2:5" x14ac:dyDescent="0.2">
      <c r="B44" s="7"/>
      <c r="C44" s="7"/>
    </row>
    <row r="45" spans="2:5" x14ac:dyDescent="0.2">
      <c r="B45" s="7"/>
      <c r="C45" s="19"/>
    </row>
    <row r="46" spans="2:5" x14ac:dyDescent="0.2">
      <c r="B46" s="7"/>
      <c r="C46" s="7"/>
    </row>
  </sheetData>
  <sortState xmlns:xlrd2="http://schemas.microsoft.com/office/spreadsheetml/2017/richdata2" ref="D4:H13">
    <sortCondition descending="1" ref="H4:H13"/>
  </sortState>
  <mergeCells count="12">
    <mergeCell ref="R15:T15"/>
    <mergeCell ref="P4:P13"/>
    <mergeCell ref="K2:P2"/>
    <mergeCell ref="D2:I2"/>
    <mergeCell ref="I4:I13"/>
    <mergeCell ref="R8:T8"/>
    <mergeCell ref="R2:T2"/>
    <mergeCell ref="G15:J15"/>
    <mergeCell ref="B15:E15"/>
    <mergeCell ref="L15:O15"/>
    <mergeCell ref="B3:B4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dim_weather</vt:lpstr>
      <vt:lpstr>fact_bookings</vt:lpstr>
      <vt:lpstr>fact_sales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Robson</dc:creator>
  <cp:lastModifiedBy>Will Robson</cp:lastModifiedBy>
  <dcterms:created xsi:type="dcterms:W3CDTF">2026-03-06T11:12:41Z</dcterms:created>
  <dcterms:modified xsi:type="dcterms:W3CDTF">2026-06-23T20:15:15Z</dcterms:modified>
</cp:coreProperties>
</file>